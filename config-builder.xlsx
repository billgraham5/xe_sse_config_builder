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illgra/Documents/"/>
    </mc:Choice>
  </mc:AlternateContent>
  <xr:revisionPtr revIDLastSave="0" documentId="8_{2BDD4D26-78A1-7841-ACE1-623C09A1E9A3}" xr6:coauthVersionLast="47" xr6:coauthVersionMax="47" xr10:uidLastSave="{00000000-0000-0000-0000-000000000000}"/>
  <bookViews>
    <workbookView xWindow="1200" yWindow="500" windowWidth="33840" windowHeight="20420" xr2:uid="{00000000-000D-0000-FFFF-FFFF00000000}"/>
  </bookViews>
  <sheets>
    <sheet name="IPSEC_BGP_XE_CONFIG" sheetId="2" r:id="rId1"/>
    <sheet name="Route Policy Docs" sheetId="6" r:id="rId2"/>
    <sheet name="CFG_RESET" sheetId="5" r:id="rId3"/>
    <sheet name="COMM" sheetId="1" r:id="rId4"/>
    <sheet name="_data" sheetId="3" r:id="rId5"/>
    <sheet name="_cfg_parts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6" i="2"/>
  <c r="F17" i="2"/>
  <c r="F21" i="2"/>
  <c r="F22" i="2"/>
  <c r="F23" i="2"/>
  <c r="F24" i="2"/>
  <c r="F27" i="2"/>
  <c r="F28" i="2"/>
  <c r="F29" i="2"/>
  <c r="F30" i="2"/>
  <c r="F31" i="2"/>
  <c r="F32" i="2"/>
  <c r="F35" i="2"/>
  <c r="F36" i="2"/>
  <c r="F37" i="2"/>
  <c r="F38" i="2"/>
  <c r="F39" i="2"/>
  <c r="F40" i="2"/>
  <c r="F43" i="2"/>
  <c r="F44" i="2"/>
  <c r="F45" i="2"/>
  <c r="F46" i="2"/>
  <c r="F47" i="2"/>
  <c r="F48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4" i="2"/>
  <c r="F115" i="2"/>
  <c r="F116" i="2"/>
  <c r="F117" i="2"/>
  <c r="F118" i="2"/>
  <c r="F119" i="2"/>
  <c r="F120" i="2"/>
  <c r="F122" i="2"/>
  <c r="F123" i="2"/>
  <c r="F124" i="2"/>
  <c r="F125" i="2"/>
  <c r="F126" i="2"/>
  <c r="F127" i="2"/>
  <c r="F128" i="2"/>
  <c r="F130" i="2"/>
  <c r="F131" i="2"/>
  <c r="F132" i="2"/>
  <c r="F133" i="2"/>
  <c r="F134" i="2"/>
  <c r="F135" i="2"/>
  <c r="F136" i="2"/>
  <c r="F138" i="2"/>
  <c r="F139" i="2"/>
  <c r="F140" i="2"/>
  <c r="F141" i="2"/>
  <c r="F142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Q57" i="4"/>
  <c r="Q58" i="4"/>
  <c r="Q59" i="4"/>
  <c r="Q56" i="4"/>
  <c r="L57" i="4"/>
  <c r="L58" i="4"/>
  <c r="L59" i="4"/>
  <c r="L56" i="4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Q180" i="4"/>
  <c r="L180" i="4"/>
  <c r="L79" i="4" l="1"/>
  <c r="L80" i="4"/>
  <c r="L72" i="4"/>
  <c r="Q72" i="4" s="1"/>
  <c r="L73" i="4"/>
  <c r="Q73" i="4" s="1"/>
  <c r="L74" i="4"/>
  <c r="Q74" i="4" s="1"/>
  <c r="L75" i="4"/>
  <c r="Q75" i="4" s="1"/>
  <c r="L76" i="4"/>
  <c r="Q76" i="4" s="1"/>
  <c r="L77" i="4"/>
  <c r="L78" i="4"/>
  <c r="L62" i="4"/>
  <c r="Q62" i="4" s="1"/>
  <c r="L63" i="4"/>
  <c r="Q63" i="4" s="1"/>
  <c r="L64" i="4"/>
  <c r="Q64" i="4" s="1"/>
  <c r="L65" i="4"/>
  <c r="Q65" i="4" s="1"/>
  <c r="L66" i="4"/>
  <c r="Q66" i="4" s="1"/>
  <c r="L67" i="4"/>
  <c r="Q67" i="4" s="1"/>
  <c r="L68" i="4"/>
  <c r="Q68" i="4" s="1"/>
  <c r="L69" i="4"/>
  <c r="Q69" i="4" s="1"/>
  <c r="L70" i="4"/>
  <c r="Q70" i="4" s="1"/>
  <c r="L71" i="4"/>
  <c r="Q71" i="4" s="1"/>
  <c r="L61" i="4"/>
  <c r="Q61" i="4" s="1"/>
  <c r="Q87" i="4"/>
  <c r="Q142" i="4"/>
  <c r="Q172" i="4"/>
  <c r="Q174" i="4"/>
  <c r="Q177" i="4"/>
  <c r="Q182" i="4"/>
  <c r="G2" i="2"/>
  <c r="F2" i="2"/>
  <c r="B13" i="4" a="1"/>
  <c r="B13" i="4" s="1"/>
  <c r="L13" i="4" s="1"/>
  <c r="F13" i="2" s="1"/>
  <c r="B18" i="4" a="1"/>
  <c r="B18" i="4" s="1"/>
  <c r="L18" i="4" s="1"/>
  <c r="F18" i="2" s="1"/>
  <c r="L142" i="4"/>
  <c r="L172" i="4"/>
  <c r="L174" i="4"/>
  <c r="L177" i="4"/>
  <c r="L182" i="4"/>
  <c r="B35" i="4" a="1"/>
  <c r="B35" i="4" s="1"/>
  <c r="L35" i="4" s="1"/>
  <c r="B36" i="4" a="1"/>
  <c r="B36" i="4" s="1"/>
  <c r="L36" i="4" s="1"/>
  <c r="B37" i="4" a="1"/>
  <c r="B37" i="4" s="1"/>
  <c r="L37" i="4" s="1"/>
  <c r="B38" i="4" a="1"/>
  <c r="B38" i="4" s="1"/>
  <c r="L38" i="4" s="1"/>
  <c r="B39" i="4" a="1"/>
  <c r="B39" i="4" s="1"/>
  <c r="L39" i="4" s="1"/>
  <c r="B40" i="4" a="1"/>
  <c r="B40" i="4" s="1"/>
  <c r="Q40" i="4" s="1"/>
  <c r="G40" i="2" s="1"/>
  <c r="B41" i="4" a="1"/>
  <c r="B41" i="4" s="1"/>
  <c r="Q41" i="4" s="1"/>
  <c r="G41" i="2" s="1"/>
  <c r="B42" i="4" a="1"/>
  <c r="B42" i="4" s="1"/>
  <c r="B43" i="4" a="1"/>
  <c r="B43" i="4" s="1"/>
  <c r="Q43" i="4" s="1"/>
  <c r="G43" i="2" s="1"/>
  <c r="B44" i="4" a="1"/>
  <c r="B44" i="4" s="1"/>
  <c r="L44" i="4" s="1"/>
  <c r="B45" i="4" a="1"/>
  <c r="B45" i="4" s="1"/>
  <c r="L45" i="4" s="1"/>
  <c r="B46" i="4" a="1"/>
  <c r="B46" i="4" s="1"/>
  <c r="L46" i="4" s="1"/>
  <c r="B47" i="4" a="1"/>
  <c r="B47" i="4" s="1"/>
  <c r="L47" i="4" s="1"/>
  <c r="B48" i="4" a="1"/>
  <c r="B48" i="4" s="1"/>
  <c r="L48" i="4" s="1"/>
  <c r="B49" i="4" a="1"/>
  <c r="B49" i="4" s="1"/>
  <c r="L49" i="4" s="1"/>
  <c r="F49" i="2" s="1"/>
  <c r="B50" i="4" a="1"/>
  <c r="B50" i="4" s="1"/>
  <c r="B51" i="4" a="1"/>
  <c r="B51" i="4" s="1"/>
  <c r="L51" i="4" s="1"/>
  <c r="B52" i="4" a="1"/>
  <c r="B52" i="4" s="1"/>
  <c r="Q52" i="4" s="1"/>
  <c r="G52" i="2" s="1"/>
  <c r="B53" i="4" a="1"/>
  <c r="B53" i="4" s="1"/>
  <c r="Q53" i="4" s="1"/>
  <c r="G53" i="2" s="1"/>
  <c r="B54" i="4" a="1"/>
  <c r="B54" i="4" s="1"/>
  <c r="Q54" i="4" s="1"/>
  <c r="G54" i="2" s="1"/>
  <c r="B88" i="4" a="1"/>
  <c r="B88" i="4" s="1"/>
  <c r="Q88" i="4" s="1"/>
  <c r="B89" i="4" a="1"/>
  <c r="B89" i="4" s="1"/>
  <c r="Q89" i="4" s="1"/>
  <c r="B90" i="4" a="1"/>
  <c r="B90" i="4" s="1"/>
  <c r="Q90" i="4" s="1"/>
  <c r="B91" i="4" a="1"/>
  <c r="B91" i="4" s="1"/>
  <c r="L91" i="4" s="1"/>
  <c r="B92" i="4" a="1"/>
  <c r="B92" i="4" s="1"/>
  <c r="L92" i="4" s="1"/>
  <c r="B93" i="4" a="1"/>
  <c r="B93" i="4" s="1"/>
  <c r="L93" i="4" s="1"/>
  <c r="B94" i="4" a="1"/>
  <c r="B94" i="4" s="1"/>
  <c r="L94" i="4" s="1"/>
  <c r="B95" i="4" a="1"/>
  <c r="B95" i="4" s="1"/>
  <c r="L95" i="4" s="1"/>
  <c r="B96" i="4" a="1"/>
  <c r="B96" i="4" s="1"/>
  <c r="Q96" i="4" s="1"/>
  <c r="B97" i="4" a="1"/>
  <c r="B97" i="4" s="1"/>
  <c r="Q97" i="4" s="1"/>
  <c r="B98" i="4" a="1"/>
  <c r="B98" i="4" s="1"/>
  <c r="Q98" i="4" s="1"/>
  <c r="B99" i="4" a="1"/>
  <c r="B99" i="4" s="1"/>
  <c r="Q99" i="4" s="1"/>
  <c r="B100" i="4" a="1"/>
  <c r="B100" i="4" s="1"/>
  <c r="L100" i="4" s="1"/>
  <c r="B101" i="4" a="1"/>
  <c r="B101" i="4" s="1"/>
  <c r="Q101" i="4" s="1"/>
  <c r="B102" i="4" a="1"/>
  <c r="B102" i="4" s="1"/>
  <c r="Q102" i="4" s="1"/>
  <c r="B103" i="4" a="1"/>
  <c r="B103" i="4" s="1"/>
  <c r="Q103" i="4" s="1"/>
  <c r="B104" i="4" a="1"/>
  <c r="B104" i="4" s="1"/>
  <c r="Q104" i="4" s="1"/>
  <c r="B105" i="4" a="1"/>
  <c r="B105" i="4" s="1"/>
  <c r="L105" i="4" s="1"/>
  <c r="B106" i="4" a="1"/>
  <c r="B106" i="4" s="1"/>
  <c r="L106" i="4" s="1"/>
  <c r="B107" i="4" a="1"/>
  <c r="B107" i="4" s="1"/>
  <c r="L107" i="4" s="1"/>
  <c r="B108" i="4" a="1"/>
  <c r="B108" i="4" s="1"/>
  <c r="Q108" i="4" s="1"/>
  <c r="B109" i="4" a="1"/>
  <c r="B109" i="4" s="1"/>
  <c r="B110" i="4" a="1"/>
  <c r="B110" i="4" s="1"/>
  <c r="Q110" i="4" s="1"/>
  <c r="B111" i="4" a="1"/>
  <c r="B111" i="4" s="1"/>
  <c r="Q111" i="4" s="1"/>
  <c r="B112" i="4" a="1"/>
  <c r="B112" i="4" s="1"/>
  <c r="Q112" i="4" s="1"/>
  <c r="B113" i="4" a="1"/>
  <c r="B113" i="4" s="1"/>
  <c r="L113" i="4" s="1"/>
  <c r="F113" i="2" s="1"/>
  <c r="B114" i="4" a="1"/>
  <c r="B114" i="4" s="1"/>
  <c r="Q114" i="4" s="1"/>
  <c r="B115" i="4" a="1"/>
  <c r="B115" i="4" s="1"/>
  <c r="Q115" i="4" s="1"/>
  <c r="B116" i="4" a="1"/>
  <c r="B116" i="4" s="1"/>
  <c r="Q116" i="4" s="1"/>
  <c r="B117" i="4" a="1"/>
  <c r="B117" i="4" s="1"/>
  <c r="B118" i="4" a="1"/>
  <c r="B118" i="4" s="1"/>
  <c r="Q118" i="4" s="1"/>
  <c r="B119" i="4" a="1"/>
  <c r="B119" i="4" s="1"/>
  <c r="L119" i="4" s="1"/>
  <c r="B120" i="4" a="1"/>
  <c r="B120" i="4" s="1"/>
  <c r="Q120" i="4" s="1"/>
  <c r="B121" i="4" a="1"/>
  <c r="B121" i="4" s="1"/>
  <c r="L121" i="4" s="1"/>
  <c r="F121" i="2" s="1"/>
  <c r="B122" i="4" a="1"/>
  <c r="B122" i="4" s="1"/>
  <c r="Q122" i="4" s="1"/>
  <c r="B123" i="4" a="1"/>
  <c r="B123" i="4" s="1"/>
  <c r="Q123" i="4" s="1"/>
  <c r="B124" i="4" a="1"/>
  <c r="B124" i="4" s="1"/>
  <c r="Q124" i="4" s="1"/>
  <c r="B125" i="4" a="1"/>
  <c r="B125" i="4" s="1"/>
  <c r="B126" i="4" a="1"/>
  <c r="B126" i="4" s="1"/>
  <c r="Q126" i="4" s="1"/>
  <c r="B127" i="4" a="1"/>
  <c r="B127" i="4" s="1"/>
  <c r="Q127" i="4" s="1"/>
  <c r="B128" i="4" a="1"/>
  <c r="B128" i="4" s="1"/>
  <c r="Q128" i="4" s="1"/>
  <c r="B129" i="4" a="1"/>
  <c r="B129" i="4" s="1"/>
  <c r="Q129" i="4" s="1"/>
  <c r="B130" i="4" a="1"/>
  <c r="B130" i="4" s="1"/>
  <c r="Q130" i="4" s="1"/>
  <c r="B131" i="4" a="1"/>
  <c r="B131" i="4" s="1"/>
  <c r="Q131" i="4" s="1"/>
  <c r="B132" i="4" a="1"/>
  <c r="B132" i="4" s="1"/>
  <c r="Q132" i="4" s="1"/>
  <c r="B133" i="4" a="1"/>
  <c r="B133" i="4" s="1"/>
  <c r="B134" i="4" a="1"/>
  <c r="B134" i="4" s="1"/>
  <c r="L134" i="4" s="1"/>
  <c r="B135" i="4" a="1"/>
  <c r="B135" i="4" s="1"/>
  <c r="L135" i="4" s="1"/>
  <c r="B136" i="4" a="1"/>
  <c r="B136" i="4" s="1"/>
  <c r="L136" i="4" s="1"/>
  <c r="B137" i="4" a="1"/>
  <c r="B137" i="4" s="1"/>
  <c r="Q137" i="4" s="1"/>
  <c r="B138" i="4" a="1"/>
  <c r="B138" i="4" s="1"/>
  <c r="L138" i="4" s="1"/>
  <c r="B139" i="4" a="1"/>
  <c r="B139" i="4" s="1"/>
  <c r="L139" i="4" s="1"/>
  <c r="B140" i="4" a="1"/>
  <c r="B140" i="4" s="1"/>
  <c r="L140" i="4" s="1"/>
  <c r="B141" i="4" a="1"/>
  <c r="B141" i="4" s="1"/>
  <c r="L141" i="4" s="1"/>
  <c r="B143" i="4" a="1"/>
  <c r="B143" i="4" s="1"/>
  <c r="L143" i="4" s="1"/>
  <c r="F143" i="2" s="1"/>
  <c r="B144" i="4" a="1"/>
  <c r="B144" i="4" s="1"/>
  <c r="Q144" i="4" s="1"/>
  <c r="B145" i="4" a="1"/>
  <c r="B145" i="4" s="1"/>
  <c r="Q145" i="4" s="1"/>
  <c r="B146" i="4" a="1"/>
  <c r="B146" i="4" s="1"/>
  <c r="Q146" i="4" s="1"/>
  <c r="B147" i="4" a="1"/>
  <c r="B147" i="4" s="1"/>
  <c r="Q147" i="4" s="1"/>
  <c r="B148" i="4" a="1"/>
  <c r="B148" i="4" s="1"/>
  <c r="L148" i="4" s="1"/>
  <c r="B149" i="4" a="1"/>
  <c r="B149" i="4" s="1"/>
  <c r="L149" i="4" s="1"/>
  <c r="B150" i="4" a="1"/>
  <c r="B150" i="4" s="1"/>
  <c r="L150" i="4" s="1"/>
  <c r="B151" i="4" a="1"/>
  <c r="B151" i="4" s="1"/>
  <c r="L151" i="4" s="1"/>
  <c r="B152" i="4" a="1"/>
  <c r="B152" i="4" s="1"/>
  <c r="L152" i="4" s="1"/>
  <c r="B153" i="4" a="1"/>
  <c r="B153" i="4" s="1"/>
  <c r="L153" i="4" s="1"/>
  <c r="B154" i="4" a="1"/>
  <c r="B154" i="4" s="1"/>
  <c r="L154" i="4" s="1"/>
  <c r="B155" i="4" a="1"/>
  <c r="B155" i="4" s="1"/>
  <c r="L155" i="4" s="1"/>
  <c r="B156" i="4" a="1"/>
  <c r="B156" i="4" s="1"/>
  <c r="Q156" i="4" s="1"/>
  <c r="B157" i="4" a="1"/>
  <c r="B157" i="4" s="1"/>
  <c r="L157" i="4" s="1"/>
  <c r="B158" i="4" a="1"/>
  <c r="B158" i="4" s="1"/>
  <c r="Q158" i="4" s="1"/>
  <c r="B159" i="4" a="1"/>
  <c r="B159" i="4" s="1"/>
  <c r="Q159" i="4" s="1"/>
  <c r="B160" i="4" a="1"/>
  <c r="B160" i="4" s="1"/>
  <c r="Q160" i="4" s="1"/>
  <c r="B161" i="4" a="1"/>
  <c r="B161" i="4" s="1"/>
  <c r="Q161" i="4" s="1"/>
  <c r="B162" i="4" a="1"/>
  <c r="B162" i="4" s="1"/>
  <c r="L162" i="4" s="1"/>
  <c r="B163" i="4" a="1"/>
  <c r="B163" i="4" s="1"/>
  <c r="L163" i="4" s="1"/>
  <c r="B164" i="4" a="1"/>
  <c r="B164" i="4" s="1"/>
  <c r="L164" i="4" s="1"/>
  <c r="B165" i="4" a="1"/>
  <c r="B165" i="4" s="1"/>
  <c r="L165" i="4" s="1"/>
  <c r="B166" i="4" a="1"/>
  <c r="B166" i="4" s="1"/>
  <c r="L166" i="4" s="1"/>
  <c r="B167" i="4" a="1"/>
  <c r="B167" i="4" s="1"/>
  <c r="L167" i="4" s="1"/>
  <c r="B168" i="4" a="1"/>
  <c r="B168" i="4" s="1"/>
  <c r="Q168" i="4" s="1"/>
  <c r="B169" i="4" a="1"/>
  <c r="B169" i="4" s="1"/>
  <c r="Q169" i="4" s="1"/>
  <c r="B170" i="4" a="1"/>
  <c r="B170" i="4" s="1"/>
  <c r="Q170" i="4" s="1"/>
  <c r="B171" i="4" a="1"/>
  <c r="B171" i="4" s="1"/>
  <c r="Q171" i="4" s="1"/>
  <c r="B173" i="4" a="1"/>
  <c r="B173" i="4" s="1"/>
  <c r="Q173" i="4" s="1"/>
  <c r="B175" i="4" a="1"/>
  <c r="B175" i="4" s="1"/>
  <c r="Q175" i="4" s="1"/>
  <c r="B176" i="4" a="1"/>
  <c r="B176" i="4" s="1"/>
  <c r="Q176" i="4" s="1"/>
  <c r="B178" i="4" a="1"/>
  <c r="B178" i="4" s="1"/>
  <c r="L178" i="4" s="1"/>
  <c r="B183" i="4" a="1"/>
  <c r="B183" i="4" s="1"/>
  <c r="Q183" i="4" s="1"/>
  <c r="B184" i="4" a="1"/>
  <c r="B184" i="4" s="1"/>
  <c r="Q184" i="4" s="1"/>
  <c r="B185" i="4" a="1"/>
  <c r="B185" i="4" s="1"/>
  <c r="Q185" i="4" s="1"/>
  <c r="B186" i="4" a="1"/>
  <c r="B186" i="4" s="1"/>
  <c r="Q186" i="4" s="1"/>
  <c r="B187" i="4" a="1"/>
  <c r="B187" i="4" s="1"/>
  <c r="Q187" i="4" s="1"/>
  <c r="B188" i="4" a="1"/>
  <c r="B188" i="4" s="1"/>
  <c r="Q188" i="4" s="1"/>
  <c r="B189" i="4" a="1"/>
  <c r="B189" i="4" s="1"/>
  <c r="Q189" i="4" s="1"/>
  <c r="B190" i="4" a="1"/>
  <c r="B190" i="4" s="1"/>
  <c r="Q190" i="4" s="1"/>
  <c r="B191" i="4" a="1"/>
  <c r="B191" i="4" s="1"/>
  <c r="Q191" i="4" s="1"/>
  <c r="B192" i="4" a="1"/>
  <c r="B192" i="4" s="1"/>
  <c r="Q192" i="4" s="1"/>
  <c r="B193" i="4" a="1"/>
  <c r="B193" i="4" s="1"/>
  <c r="L193" i="4" s="1"/>
  <c r="B194" i="4" a="1"/>
  <c r="B194" i="4" s="1"/>
  <c r="L194" i="4" s="1"/>
  <c r="B195" i="4" a="1"/>
  <c r="B195" i="4" s="1"/>
  <c r="Q195" i="4" s="1"/>
  <c r="B196" i="4" a="1"/>
  <c r="B196" i="4" s="1"/>
  <c r="Q196" i="4" s="1"/>
  <c r="B197" i="4" a="1"/>
  <c r="B197" i="4" s="1"/>
  <c r="Q197" i="4" s="1"/>
  <c r="B198" i="4" a="1"/>
  <c r="B198" i="4" s="1"/>
  <c r="Q198" i="4" s="1"/>
  <c r="B199" i="4" a="1"/>
  <c r="B199" i="4" s="1"/>
  <c r="Q199" i="4" s="1"/>
  <c r="B200" i="4" a="1"/>
  <c r="B200" i="4" s="1"/>
  <c r="Q200" i="4" s="1"/>
  <c r="B201" i="4" a="1"/>
  <c r="B201" i="4" s="1"/>
  <c r="Q201" i="4" s="1"/>
  <c r="B202" i="4" a="1"/>
  <c r="B202" i="4" s="1"/>
  <c r="Q202" i="4" s="1"/>
  <c r="B203" i="4" a="1"/>
  <c r="B203" i="4" s="1"/>
  <c r="Q203" i="4" s="1"/>
  <c r="B204" i="4" a="1"/>
  <c r="B204" i="4" s="1"/>
  <c r="Q204" i="4" s="1"/>
  <c r="B205" i="4" a="1"/>
  <c r="B205" i="4" s="1"/>
  <c r="L205" i="4" s="1"/>
  <c r="B206" i="4" a="1"/>
  <c r="B206" i="4" s="1"/>
  <c r="L206" i="4" s="1"/>
  <c r="B207" i="4" a="1"/>
  <c r="B207" i="4" s="1"/>
  <c r="Q207" i="4" s="1"/>
  <c r="B208" i="4" a="1"/>
  <c r="B208" i="4" s="1"/>
  <c r="Q208" i="4" s="1"/>
  <c r="B209" i="4" a="1"/>
  <c r="B209" i="4" s="1"/>
  <c r="Q209" i="4" s="1"/>
  <c r="B210" i="4" a="1"/>
  <c r="B210" i="4" s="1"/>
  <c r="Q210" i="4" s="1"/>
  <c r="B211" i="4" a="1"/>
  <c r="B211" i="4" s="1"/>
  <c r="Q211" i="4" s="1"/>
  <c r="B212" i="4" a="1"/>
  <c r="B212" i="4" s="1"/>
  <c r="Q212" i="4" s="1"/>
  <c r="B213" i="4" a="1"/>
  <c r="B213" i="4" s="1"/>
  <c r="Q213" i="4" s="1"/>
  <c r="B214" i="4" a="1"/>
  <c r="B214" i="4" s="1"/>
  <c r="Q214" i="4" s="1"/>
  <c r="B215" i="4" a="1"/>
  <c r="B215" i="4" s="1"/>
  <c r="Q215" i="4" s="1"/>
  <c r="B216" i="4" a="1"/>
  <c r="B216" i="4" s="1"/>
  <c r="Q216" i="4" s="1"/>
  <c r="B217" i="4" a="1"/>
  <c r="B217" i="4" s="1"/>
  <c r="L217" i="4" s="1"/>
  <c r="B218" i="4" a="1"/>
  <c r="B218" i="4" s="1"/>
  <c r="L218" i="4" s="1"/>
  <c r="B219" i="4" a="1"/>
  <c r="B219" i="4" s="1"/>
  <c r="Q219" i="4" s="1"/>
  <c r="B220" i="4" a="1"/>
  <c r="B220" i="4" s="1"/>
  <c r="Q220" i="4" s="1"/>
  <c r="B221" i="4" a="1"/>
  <c r="B221" i="4" s="1"/>
  <c r="Q221" i="4" s="1"/>
  <c r="B222" i="4" a="1"/>
  <c r="B222" i="4" s="1"/>
  <c r="Q222" i="4" s="1"/>
  <c r="B223" i="4" a="1"/>
  <c r="B223" i="4" s="1"/>
  <c r="Q223" i="4" s="1"/>
  <c r="B224" i="4" a="1"/>
  <c r="B224" i="4" s="1"/>
  <c r="Q224" i="4" s="1"/>
  <c r="B225" i="4" a="1"/>
  <c r="B225" i="4" s="1"/>
  <c r="Q225" i="4" s="1"/>
  <c r="B226" i="4" a="1"/>
  <c r="B226" i="4" s="1"/>
  <c r="Q226" i="4" s="1"/>
  <c r="B227" i="4" a="1"/>
  <c r="B227" i="4" s="1"/>
  <c r="Q227" i="4" s="1"/>
  <c r="B228" i="4" a="1"/>
  <c r="B228" i="4" s="1"/>
  <c r="Q228" i="4" s="1"/>
  <c r="B229" i="4" a="1"/>
  <c r="B229" i="4" s="1"/>
  <c r="L229" i="4" s="1"/>
  <c r="B230" i="4" a="1"/>
  <c r="B230" i="4" s="1"/>
  <c r="L230" i="4" s="1"/>
  <c r="B231" i="4" a="1"/>
  <c r="B231" i="4" s="1"/>
  <c r="Q231" i="4" s="1"/>
  <c r="B232" i="4" a="1"/>
  <c r="B232" i="4" s="1"/>
  <c r="Q232" i="4" s="1"/>
  <c r="B233" i="4" a="1"/>
  <c r="B233" i="4" s="1"/>
  <c r="Q233" i="4" s="1"/>
  <c r="B234" i="4" a="1"/>
  <c r="B234" i="4" s="1"/>
  <c r="Q234" i="4" s="1"/>
  <c r="B235" i="4" a="1"/>
  <c r="B235" i="4" s="1"/>
  <c r="L235" i="4" s="1"/>
  <c r="B236" i="4" a="1"/>
  <c r="B236" i="4" s="1"/>
  <c r="L236" i="4" s="1"/>
  <c r="B237" i="4" a="1"/>
  <c r="B237" i="4" s="1"/>
  <c r="L237" i="4" s="1"/>
  <c r="B238" i="4" a="1"/>
  <c r="B238" i="4" s="1"/>
  <c r="L238" i="4" s="1"/>
  <c r="B239" i="4" a="1"/>
  <c r="B239" i="4" s="1"/>
  <c r="L239" i="4" s="1"/>
  <c r="B240" i="4" a="1"/>
  <c r="B240" i="4" s="1"/>
  <c r="L240" i="4" s="1"/>
  <c r="B241" i="4" a="1"/>
  <c r="B241" i="4" s="1"/>
  <c r="L241" i="4" s="1"/>
  <c r="B242" i="4" a="1"/>
  <c r="B242" i="4" s="1"/>
  <c r="L242" i="4" s="1"/>
  <c r="B243" i="4" a="1"/>
  <c r="B243" i="4" s="1"/>
  <c r="L243" i="4" s="1"/>
  <c r="B244" i="4" a="1"/>
  <c r="B244" i="4" s="1"/>
  <c r="L244" i="4" s="1"/>
  <c r="B245" i="4" a="1"/>
  <c r="B245" i="4" s="1"/>
  <c r="L245" i="4" s="1"/>
  <c r="B246" i="4" a="1"/>
  <c r="B246" i="4" s="1"/>
  <c r="L246" i="4" s="1"/>
  <c r="B247" i="4" a="1"/>
  <c r="B247" i="4" s="1"/>
  <c r="L247" i="4" s="1"/>
  <c r="B248" i="4" a="1"/>
  <c r="B248" i="4" s="1"/>
  <c r="L248" i="4" s="1"/>
  <c r="B249" i="4" a="1"/>
  <c r="B249" i="4" s="1"/>
  <c r="L249" i="4" s="1"/>
  <c r="B250" i="4" a="1"/>
  <c r="B250" i="4" s="1"/>
  <c r="L250" i="4" s="1"/>
  <c r="B251" i="4" a="1"/>
  <c r="B251" i="4" s="1"/>
  <c r="L251" i="4" s="1"/>
  <c r="B252" i="4" a="1"/>
  <c r="B252" i="4" s="1"/>
  <c r="L252" i="4" s="1"/>
  <c r="B253" i="4" a="1"/>
  <c r="B253" i="4" s="1"/>
  <c r="L253" i="4" s="1"/>
  <c r="B254" i="4" a="1"/>
  <c r="B254" i="4" s="1"/>
  <c r="L254" i="4" s="1"/>
  <c r="B255" i="4" a="1"/>
  <c r="B255" i="4" s="1"/>
  <c r="L255" i="4" s="1"/>
  <c r="B256" i="4" a="1"/>
  <c r="B256" i="4" s="1"/>
  <c r="L256" i="4" s="1"/>
  <c r="B257" i="4" a="1"/>
  <c r="B257" i="4" s="1"/>
  <c r="L257" i="4" s="1"/>
  <c r="B258" i="4" a="1"/>
  <c r="B258" i="4" s="1"/>
  <c r="L258" i="4" s="1"/>
  <c r="B259" i="4" a="1"/>
  <c r="B259" i="4" s="1"/>
  <c r="L259" i="4" s="1"/>
  <c r="B260" i="4" a="1"/>
  <c r="B260" i="4" s="1"/>
  <c r="L260" i="4" s="1"/>
  <c r="B261" i="4" a="1"/>
  <c r="B261" i="4" s="1"/>
  <c r="L261" i="4" s="1"/>
  <c r="F232" i="2" s="1"/>
  <c r="B262" i="4" a="1"/>
  <c r="B262" i="4" s="1"/>
  <c r="L262" i="4" s="1"/>
  <c r="F233" i="2" s="1"/>
  <c r="B263" i="4" a="1"/>
  <c r="B263" i="4" s="1"/>
  <c r="L263" i="4" s="1"/>
  <c r="F234" i="2" s="1"/>
  <c r="B264" i="4" a="1"/>
  <c r="B264" i="4" s="1"/>
  <c r="L264" i="4" s="1"/>
  <c r="F235" i="2" s="1"/>
  <c r="B265" i="4" a="1"/>
  <c r="B265" i="4" s="1"/>
  <c r="L265" i="4" s="1"/>
  <c r="F236" i="2" s="1"/>
  <c r="B266" i="4" a="1"/>
  <c r="B266" i="4" s="1"/>
  <c r="L266" i="4" s="1"/>
  <c r="F237" i="2" s="1"/>
  <c r="B267" i="4" a="1"/>
  <c r="B267" i="4" s="1"/>
  <c r="L267" i="4" s="1"/>
  <c r="F238" i="2" s="1"/>
  <c r="B268" i="4" a="1"/>
  <c r="B268" i="4" s="1"/>
  <c r="L268" i="4" s="1"/>
  <c r="F239" i="2" s="1"/>
  <c r="B269" i="4" a="1"/>
  <c r="B269" i="4" s="1"/>
  <c r="L269" i="4" s="1"/>
  <c r="F240" i="2" s="1"/>
  <c r="B270" i="4" a="1"/>
  <c r="B270" i="4" s="1"/>
  <c r="L270" i="4" s="1"/>
  <c r="F241" i="2" s="1"/>
  <c r="B271" i="4" a="1"/>
  <c r="B271" i="4" s="1"/>
  <c r="L271" i="4" s="1"/>
  <c r="F242" i="2" s="1"/>
  <c r="B272" i="4" a="1"/>
  <c r="B272" i="4" s="1"/>
  <c r="L272" i="4" s="1"/>
  <c r="F243" i="2" s="1"/>
  <c r="B273" i="4" a="1"/>
  <c r="B273" i="4" s="1"/>
  <c r="L273" i="4" s="1"/>
  <c r="F244" i="2" s="1"/>
  <c r="B274" i="4" a="1"/>
  <c r="B274" i="4" s="1"/>
  <c r="L274" i="4" s="1"/>
  <c r="F245" i="2" s="1"/>
  <c r="B275" i="4" a="1"/>
  <c r="B275" i="4" s="1"/>
  <c r="L275" i="4" s="1"/>
  <c r="F246" i="2" s="1"/>
  <c r="B276" i="4" a="1"/>
  <c r="B276" i="4" s="1"/>
  <c r="L276" i="4" s="1"/>
  <c r="F247" i="2" s="1"/>
  <c r="B277" i="4" a="1"/>
  <c r="B277" i="4" s="1"/>
  <c r="L277" i="4" s="1"/>
  <c r="F248" i="2" s="1"/>
  <c r="B278" i="4" a="1"/>
  <c r="B278" i="4" s="1"/>
  <c r="L278" i="4" s="1"/>
  <c r="F249" i="2" s="1"/>
  <c r="B279" i="4" a="1"/>
  <c r="B279" i="4" s="1"/>
  <c r="L279" i="4" s="1"/>
  <c r="F250" i="2" s="1"/>
  <c r="B280" i="4" a="1"/>
  <c r="B280" i="4" s="1"/>
  <c r="L280" i="4" s="1"/>
  <c r="F251" i="2" s="1"/>
  <c r="B281" i="4" a="1"/>
  <c r="B281" i="4" s="1"/>
  <c r="L281" i="4" s="1"/>
  <c r="F252" i="2" s="1"/>
  <c r="B282" i="4" a="1"/>
  <c r="B282" i="4" s="1"/>
  <c r="L282" i="4" s="1"/>
  <c r="F253" i="2" s="1"/>
  <c r="B283" i="4" a="1"/>
  <c r="B283" i="4" s="1"/>
  <c r="L283" i="4" s="1"/>
  <c r="F254" i="2" s="1"/>
  <c r="B284" i="4" a="1"/>
  <c r="B284" i="4" s="1"/>
  <c r="L284" i="4" s="1"/>
  <c r="F255" i="2" s="1"/>
  <c r="B285" i="4" a="1"/>
  <c r="B285" i="4" s="1"/>
  <c r="L285" i="4" s="1"/>
  <c r="F256" i="2" s="1"/>
  <c r="B286" i="4" a="1"/>
  <c r="B286" i="4" s="1"/>
  <c r="L286" i="4" s="1"/>
  <c r="F257" i="2" s="1"/>
  <c r="B287" i="4" a="1"/>
  <c r="B287" i="4" s="1"/>
  <c r="L287" i="4" s="1"/>
  <c r="F258" i="2" s="1"/>
  <c r="B288" i="4" a="1"/>
  <c r="B288" i="4" s="1"/>
  <c r="L288" i="4" s="1"/>
  <c r="F259" i="2" s="1"/>
  <c r="B289" i="4" a="1"/>
  <c r="B289" i="4" s="1"/>
  <c r="L289" i="4" s="1"/>
  <c r="F260" i="2" s="1"/>
  <c r="B290" i="4" a="1"/>
  <c r="B290" i="4" s="1"/>
  <c r="L290" i="4" s="1"/>
  <c r="F261" i="2" s="1"/>
  <c r="B291" i="4" a="1"/>
  <c r="B291" i="4" s="1"/>
  <c r="L291" i="4" s="1"/>
  <c r="F262" i="2" s="1"/>
  <c r="B292" i="4" a="1"/>
  <c r="B292" i="4" s="1"/>
  <c r="L292" i="4" s="1"/>
  <c r="B293" i="4" a="1"/>
  <c r="B293" i="4" s="1"/>
  <c r="L293" i="4" s="1"/>
  <c r="B294" i="4" a="1"/>
  <c r="B294" i="4" s="1"/>
  <c r="L294" i="4" s="1"/>
  <c r="B295" i="4" a="1"/>
  <c r="B295" i="4" s="1"/>
  <c r="L295" i="4" s="1"/>
  <c r="B296" i="4" a="1"/>
  <c r="B296" i="4" s="1"/>
  <c r="L296" i="4" s="1"/>
  <c r="B297" i="4" a="1"/>
  <c r="B297" i="4" s="1"/>
  <c r="L297" i="4" s="1"/>
  <c r="B298" i="4" a="1"/>
  <c r="B298" i="4" s="1"/>
  <c r="L298" i="4" s="1"/>
  <c r="B299" i="4" a="1"/>
  <c r="B299" i="4" s="1"/>
  <c r="L299" i="4" s="1"/>
  <c r="B300" i="4" a="1"/>
  <c r="B300" i="4" s="1"/>
  <c r="L300" i="4" s="1"/>
  <c r="B301" i="4" a="1"/>
  <c r="B301" i="4" s="1"/>
  <c r="L301" i="4" s="1"/>
  <c r="B302" i="4" a="1"/>
  <c r="B302" i="4" s="1"/>
  <c r="L302" i="4" s="1"/>
  <c r="B303" i="4" a="1"/>
  <c r="B303" i="4" s="1"/>
  <c r="L303" i="4" s="1"/>
  <c r="B304" i="4" a="1"/>
  <c r="B304" i="4" s="1"/>
  <c r="L304" i="4" s="1"/>
  <c r="B305" i="4" a="1"/>
  <c r="B305" i="4" s="1"/>
  <c r="L305" i="4" s="1"/>
  <c r="B306" i="4" a="1"/>
  <c r="B306" i="4" s="1"/>
  <c r="L306" i="4" s="1"/>
  <c r="B307" i="4" a="1"/>
  <c r="B307" i="4" s="1"/>
  <c r="L307" i="4" s="1"/>
  <c r="B308" i="4" a="1"/>
  <c r="B308" i="4" s="1"/>
  <c r="L308" i="4" s="1"/>
  <c r="B309" i="4" a="1"/>
  <c r="B309" i="4" s="1"/>
  <c r="L309" i="4" s="1"/>
  <c r="B310" i="4" a="1"/>
  <c r="B310" i="4" s="1"/>
  <c r="L310" i="4" s="1"/>
  <c r="B311" i="4" a="1"/>
  <c r="B311" i="4" s="1"/>
  <c r="L311" i="4" s="1"/>
  <c r="B312" i="4" a="1"/>
  <c r="B312" i="4" s="1"/>
  <c r="L312" i="4" s="1"/>
  <c r="B313" i="4" a="1"/>
  <c r="B313" i="4" s="1"/>
  <c r="L313" i="4" s="1"/>
  <c r="B314" i="4" a="1"/>
  <c r="B314" i="4" s="1"/>
  <c r="L314" i="4" s="1"/>
  <c r="B315" i="4" a="1"/>
  <c r="B315" i="4" s="1"/>
  <c r="L315" i="4" s="1"/>
  <c r="B316" i="4" a="1"/>
  <c r="B316" i="4" s="1"/>
  <c r="L316" i="4" s="1"/>
  <c r="B317" i="4" a="1"/>
  <c r="B317" i="4" s="1"/>
  <c r="L317" i="4" s="1"/>
  <c r="B318" i="4" a="1"/>
  <c r="B318" i="4" s="1"/>
  <c r="L318" i="4" s="1"/>
  <c r="B319" i="4" a="1"/>
  <c r="B319" i="4" s="1"/>
  <c r="L319" i="4" s="1"/>
  <c r="B320" i="4" a="1"/>
  <c r="B320" i="4" s="1"/>
  <c r="L320" i="4" s="1"/>
  <c r="B321" i="4" a="1"/>
  <c r="B321" i="4" s="1"/>
  <c r="L321" i="4" s="1"/>
  <c r="B322" i="4" a="1"/>
  <c r="B322" i="4" s="1"/>
  <c r="L322" i="4" s="1"/>
  <c r="B323" i="4" a="1"/>
  <c r="B323" i="4" s="1"/>
  <c r="L323" i="4" s="1"/>
  <c r="B324" i="4" a="1"/>
  <c r="B324" i="4" s="1"/>
  <c r="L324" i="4" s="1"/>
  <c r="B325" i="4" a="1"/>
  <c r="B325" i="4" s="1"/>
  <c r="L325" i="4" s="1"/>
  <c r="B326" i="4" a="1"/>
  <c r="B326" i="4" s="1"/>
  <c r="L326" i="4" s="1"/>
  <c r="B327" i="4" a="1"/>
  <c r="B327" i="4" s="1"/>
  <c r="L327" i="4" s="1"/>
  <c r="B328" i="4" a="1"/>
  <c r="B328" i="4" s="1"/>
  <c r="L328" i="4" s="1"/>
  <c r="B329" i="4" a="1"/>
  <c r="B329" i="4" s="1"/>
  <c r="L329" i="4" s="1"/>
  <c r="B330" i="4" a="1"/>
  <c r="B330" i="4" s="1"/>
  <c r="L330" i="4" s="1"/>
  <c r="B331" i="4" a="1"/>
  <c r="B331" i="4" s="1"/>
  <c r="L331" i="4" s="1"/>
  <c r="B332" i="4" a="1"/>
  <c r="B332" i="4" s="1"/>
  <c r="L332" i="4" s="1"/>
  <c r="B333" i="4" a="1"/>
  <c r="B333" i="4" s="1"/>
  <c r="L333" i="4" s="1"/>
  <c r="B334" i="4" a="1"/>
  <c r="B334" i="4" s="1"/>
  <c r="L334" i="4" s="1"/>
  <c r="B335" i="4" a="1"/>
  <c r="B335" i="4" s="1"/>
  <c r="L335" i="4" s="1"/>
  <c r="B336" i="4" a="1"/>
  <c r="B336" i="4" s="1"/>
  <c r="L336" i="4" s="1"/>
  <c r="B337" i="4" a="1"/>
  <c r="B337" i="4" s="1"/>
  <c r="L337" i="4" s="1"/>
  <c r="B338" i="4" a="1"/>
  <c r="B338" i="4" s="1"/>
  <c r="L338" i="4" s="1"/>
  <c r="B339" i="4" a="1"/>
  <c r="B339" i="4" s="1"/>
  <c r="L339" i="4" s="1"/>
  <c r="B340" i="4" a="1"/>
  <c r="B340" i="4" s="1"/>
  <c r="L340" i="4" s="1"/>
  <c r="B341" i="4" a="1"/>
  <c r="B341" i="4" s="1"/>
  <c r="L341" i="4" s="1"/>
  <c r="B342" i="4" a="1"/>
  <c r="B342" i="4" s="1"/>
  <c r="L342" i="4" s="1"/>
  <c r="B343" i="4" a="1"/>
  <c r="B343" i="4" s="1"/>
  <c r="L343" i="4" s="1"/>
  <c r="B344" i="4" a="1"/>
  <c r="B344" i="4" s="1"/>
  <c r="L344" i="4" s="1"/>
  <c r="B345" i="4" a="1"/>
  <c r="B345" i="4" s="1"/>
  <c r="L345" i="4" s="1"/>
  <c r="B346" i="4" a="1"/>
  <c r="B346" i="4" s="1"/>
  <c r="L346" i="4" s="1"/>
  <c r="B347" i="4" a="1"/>
  <c r="B347" i="4" s="1"/>
  <c r="L347" i="4" s="1"/>
  <c r="B348" i="4" a="1"/>
  <c r="B348" i="4" s="1"/>
  <c r="L348" i="4" s="1"/>
  <c r="B349" i="4" a="1"/>
  <c r="B349" i="4" s="1"/>
  <c r="L349" i="4" s="1"/>
  <c r="B350" i="4" a="1"/>
  <c r="B350" i="4" s="1"/>
  <c r="L350" i="4" s="1"/>
  <c r="B351" i="4" a="1"/>
  <c r="B351" i="4" s="1"/>
  <c r="L351" i="4" s="1"/>
  <c r="B352" i="4" a="1"/>
  <c r="B352" i="4" s="1"/>
  <c r="B353" i="4" a="1"/>
  <c r="B353" i="4" s="1"/>
  <c r="B354" i="4" a="1"/>
  <c r="B354" i="4" s="1"/>
  <c r="B355" i="4" a="1"/>
  <c r="B355" i="4" s="1"/>
  <c r="B356" i="4" a="1"/>
  <c r="B356" i="4" s="1"/>
  <c r="B357" i="4" a="1"/>
  <c r="B357" i="4" s="1"/>
  <c r="B358" i="4" a="1"/>
  <c r="B358" i="4" s="1"/>
  <c r="B359" i="4" a="1"/>
  <c r="B359" i="4" s="1"/>
  <c r="B20" i="4" a="1"/>
  <c r="B20" i="4" s="1"/>
  <c r="L20" i="4" s="1"/>
  <c r="F20" i="2" s="1"/>
  <c r="B21" i="4" a="1"/>
  <c r="B21" i="4" s="1"/>
  <c r="Q21" i="4" s="1"/>
  <c r="G21" i="2" s="1"/>
  <c r="B22" i="4" a="1"/>
  <c r="B22" i="4" s="1"/>
  <c r="Q22" i="4" s="1"/>
  <c r="G22" i="2" s="1"/>
  <c r="B23" i="4" a="1"/>
  <c r="B23" i="4" s="1"/>
  <c r="Q23" i="4" s="1"/>
  <c r="G23" i="2" s="1"/>
  <c r="B24" i="4" a="1"/>
  <c r="B24" i="4" s="1"/>
  <c r="Q24" i="4" s="1"/>
  <c r="G24" i="2" s="1"/>
  <c r="B25" i="4" a="1"/>
  <c r="B25" i="4" s="1"/>
  <c r="Q25" i="4" s="1"/>
  <c r="G25" i="2" s="1"/>
  <c r="B26" i="4" a="1"/>
  <c r="B26" i="4" s="1"/>
  <c r="B27" i="4" a="1"/>
  <c r="B27" i="4" s="1"/>
  <c r="L27" i="4" s="1"/>
  <c r="B28" i="4" a="1"/>
  <c r="B28" i="4" s="1"/>
  <c r="Q28" i="4" s="1"/>
  <c r="G28" i="2" s="1"/>
  <c r="B29" i="4" a="1"/>
  <c r="B29" i="4" s="1"/>
  <c r="L29" i="4" s="1"/>
  <c r="B30" i="4" a="1"/>
  <c r="B30" i="4" s="1"/>
  <c r="L30" i="4" s="1"/>
  <c r="B31" i="4" a="1"/>
  <c r="B31" i="4" s="1"/>
  <c r="L31" i="4" s="1"/>
  <c r="B32" i="4" a="1"/>
  <c r="B32" i="4" s="1"/>
  <c r="L32" i="4" s="1"/>
  <c r="B33" i="4" a="1"/>
  <c r="B33" i="4" s="1"/>
  <c r="Q33" i="4" s="1"/>
  <c r="G33" i="2" s="1"/>
  <c r="B34" i="4" a="1"/>
  <c r="B34" i="4" s="1"/>
  <c r="B4" i="4" a="1"/>
  <c r="B4" i="4" s="1"/>
  <c r="Q4" i="4" s="1"/>
  <c r="G4" i="2" s="1"/>
  <c r="B5" i="4" a="1"/>
  <c r="B5" i="4" s="1"/>
  <c r="Q5" i="4" s="1"/>
  <c r="G5" i="2" s="1"/>
  <c r="B6" i="4" a="1"/>
  <c r="B6" i="4" s="1"/>
  <c r="Q6" i="4" s="1"/>
  <c r="G6" i="2" s="1"/>
  <c r="B7" i="4" a="1"/>
  <c r="B7" i="4" s="1"/>
  <c r="B8" i="4" a="1"/>
  <c r="B8" i="4" s="1"/>
  <c r="Q8" i="4" s="1"/>
  <c r="G8" i="2" s="1"/>
  <c r="B9" i="4" a="1"/>
  <c r="B9" i="4" s="1"/>
  <c r="L9" i="4" s="1"/>
  <c r="B10" i="4" a="1"/>
  <c r="B10" i="4" s="1"/>
  <c r="L10" i="4" s="1"/>
  <c r="B11" i="4" a="1"/>
  <c r="B11" i="4" s="1"/>
  <c r="L11" i="4" s="1"/>
  <c r="B12" i="4" a="1"/>
  <c r="B12" i="4" s="1"/>
  <c r="L12" i="4" s="1"/>
  <c r="B14" i="4" a="1"/>
  <c r="B14" i="4" s="1"/>
  <c r="L14" i="4" s="1"/>
  <c r="F14" i="2" s="1"/>
  <c r="B15" i="4" a="1"/>
  <c r="B15" i="4" s="1"/>
  <c r="L15" i="4" s="1"/>
  <c r="F15" i="2" s="1"/>
  <c r="B16" i="4" a="1"/>
  <c r="B16" i="4" s="1"/>
  <c r="Q16" i="4" s="1"/>
  <c r="G16" i="2" s="1"/>
  <c r="B17" i="4" a="1"/>
  <c r="B17" i="4" s="1"/>
  <c r="Q17" i="4" s="1"/>
  <c r="G17" i="2" s="1"/>
  <c r="B19" i="4" a="1"/>
  <c r="B19" i="4" s="1"/>
  <c r="L19" i="4" s="1"/>
  <c r="F19" i="2" s="1"/>
  <c r="B3" i="4" a="1"/>
  <c r="B3" i="4" s="1"/>
  <c r="Q3" i="4" s="1"/>
  <c r="G3" i="2" s="1"/>
  <c r="E40" i="3"/>
  <c r="E41" i="3"/>
  <c r="A42" i="3" a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D3" i="3"/>
  <c r="D4" i="3"/>
  <c r="D5" i="3"/>
  <c r="D6" i="3"/>
  <c r="D7" i="3"/>
  <c r="D8" i="3"/>
  <c r="D9" i="3"/>
  <c r="D2" i="3"/>
  <c r="A19" i="3" a="1"/>
  <c r="A19" i="3" s="1"/>
  <c r="E19" i="3" s="1"/>
  <c r="D56" i="2" s="1"/>
  <c r="Q109" i="4" l="1"/>
  <c r="L42" i="4"/>
  <c r="F42" i="2" s="1"/>
  <c r="Q50" i="4"/>
  <c r="G50" i="2" s="1"/>
  <c r="Q42" i="4"/>
  <c r="G42" i="2" s="1"/>
  <c r="Q34" i="4"/>
  <c r="G34" i="2" s="1"/>
  <c r="Q26" i="4"/>
  <c r="G26" i="2" s="1"/>
  <c r="L101" i="4"/>
  <c r="Q121" i="4"/>
  <c r="L89" i="4"/>
  <c r="Q14" i="4"/>
  <c r="G14" i="2" s="1"/>
  <c r="Q15" i="4"/>
  <c r="G15" i="2" s="1"/>
  <c r="Q19" i="4"/>
  <c r="G19" i="2" s="1"/>
  <c r="Q20" i="4"/>
  <c r="G20" i="2" s="1"/>
  <c r="Q13" i="4"/>
  <c r="G13" i="2" s="1"/>
  <c r="Q18" i="4"/>
  <c r="G18" i="2" s="1"/>
  <c r="L26" i="4"/>
  <c r="F26" i="2" s="1"/>
  <c r="L34" i="4"/>
  <c r="F34" i="2" s="1"/>
  <c r="Q49" i="4"/>
  <c r="G49" i="2" s="1"/>
  <c r="L50" i="4"/>
  <c r="F50" i="2" s="1"/>
  <c r="Q113" i="4"/>
  <c r="Q143" i="4"/>
  <c r="Q7" i="4"/>
  <c r="G7" i="2" s="1"/>
  <c r="L7" i="4"/>
  <c r="L228" i="4"/>
  <c r="L216" i="4"/>
  <c r="L204" i="4"/>
  <c r="L192" i="4"/>
  <c r="L161" i="4"/>
  <c r="L147" i="4"/>
  <c r="L131" i="4"/>
  <c r="L118" i="4"/>
  <c r="L104" i="4"/>
  <c r="L90" i="4"/>
  <c r="L43" i="4"/>
  <c r="L28" i="4"/>
  <c r="L8" i="4"/>
  <c r="L33" i="4"/>
  <c r="F33" i="2" s="1"/>
  <c r="Q230" i="4"/>
  <c r="Q218" i="4"/>
  <c r="Q206" i="4"/>
  <c r="Q194" i="4"/>
  <c r="Q167" i="4"/>
  <c r="Q155" i="4"/>
  <c r="Q119" i="4"/>
  <c r="Q107" i="4"/>
  <c r="Q95" i="4"/>
  <c r="Q51" i="4"/>
  <c r="G51" i="2" s="1"/>
  <c r="Q39" i="4"/>
  <c r="G39" i="2" s="1"/>
  <c r="Q27" i="4"/>
  <c r="G27" i="2" s="1"/>
  <c r="L227" i="4"/>
  <c r="L215" i="4"/>
  <c r="L203" i="4"/>
  <c r="L191" i="4"/>
  <c r="L176" i="4"/>
  <c r="L160" i="4"/>
  <c r="L146" i="4"/>
  <c r="L130" i="4"/>
  <c r="L116" i="4"/>
  <c r="L103" i="4"/>
  <c r="L41" i="4"/>
  <c r="F41" i="2" s="1"/>
  <c r="L129" i="4"/>
  <c r="F129" i="2" s="1"/>
  <c r="Q229" i="4"/>
  <c r="Q217" i="4"/>
  <c r="Q205" i="4"/>
  <c r="Q193" i="4"/>
  <c r="Q178" i="4"/>
  <c r="Q166" i="4"/>
  <c r="Q154" i="4"/>
  <c r="Q106" i="4"/>
  <c r="Q94" i="4"/>
  <c r="Q38" i="4"/>
  <c r="G38" i="2" s="1"/>
  <c r="L226" i="4"/>
  <c r="L214" i="4"/>
  <c r="L202" i="4"/>
  <c r="L190" i="4"/>
  <c r="L175" i="4"/>
  <c r="L159" i="4"/>
  <c r="L145" i="4"/>
  <c r="L115" i="4"/>
  <c r="L102" i="4"/>
  <c r="L88" i="4"/>
  <c r="L40" i="4"/>
  <c r="L24" i="4"/>
  <c r="L6" i="4"/>
  <c r="L137" i="4"/>
  <c r="F137" i="2" s="1"/>
  <c r="Q165" i="4"/>
  <c r="Q153" i="4"/>
  <c r="Q141" i="4"/>
  <c r="Q105" i="4"/>
  <c r="Q93" i="4"/>
  <c r="Q37" i="4"/>
  <c r="G37" i="2" s="1"/>
  <c r="L225" i="4"/>
  <c r="L213" i="4"/>
  <c r="L201" i="4"/>
  <c r="L189" i="4"/>
  <c r="L158" i="4"/>
  <c r="L128" i="4"/>
  <c r="L114" i="4"/>
  <c r="L54" i="4"/>
  <c r="L23" i="4"/>
  <c r="L5" i="4"/>
  <c r="Q164" i="4"/>
  <c r="Q152" i="4"/>
  <c r="Q140" i="4"/>
  <c r="Q92" i="4"/>
  <c r="Q48" i="4"/>
  <c r="G48" i="2" s="1"/>
  <c r="Q36" i="4"/>
  <c r="G36" i="2" s="1"/>
  <c r="Q12" i="4"/>
  <c r="G12" i="2" s="1"/>
  <c r="L224" i="4"/>
  <c r="L212" i="4"/>
  <c r="L200" i="4"/>
  <c r="L188" i="4"/>
  <c r="L173" i="4"/>
  <c r="L156" i="4"/>
  <c r="L127" i="4"/>
  <c r="L112" i="4"/>
  <c r="L99" i="4"/>
  <c r="L53" i="4"/>
  <c r="L22" i="4"/>
  <c r="L4" i="4"/>
  <c r="L144" i="4"/>
  <c r="F144" i="2" s="1"/>
  <c r="Q163" i="4"/>
  <c r="Q151" i="4"/>
  <c r="Q139" i="4"/>
  <c r="Q91" i="4"/>
  <c r="Q47" i="4"/>
  <c r="G47" i="2" s="1"/>
  <c r="Q35" i="4"/>
  <c r="G35" i="2" s="1"/>
  <c r="Q11" i="4"/>
  <c r="G11" i="2" s="1"/>
  <c r="L223" i="4"/>
  <c r="L211" i="4"/>
  <c r="L199" i="4"/>
  <c r="L187" i="4"/>
  <c r="L126" i="4"/>
  <c r="L111" i="4"/>
  <c r="L98" i="4"/>
  <c r="L52" i="4"/>
  <c r="L21" i="4"/>
  <c r="Q162" i="4"/>
  <c r="Q150" i="4"/>
  <c r="Q138" i="4"/>
  <c r="Q46" i="4"/>
  <c r="G46" i="2" s="1"/>
  <c r="Q10" i="4"/>
  <c r="G10" i="2" s="1"/>
  <c r="L234" i="4"/>
  <c r="L222" i="4"/>
  <c r="L210" i="4"/>
  <c r="L198" i="4"/>
  <c r="L186" i="4"/>
  <c r="L171" i="4"/>
  <c r="L110" i="4"/>
  <c r="L97" i="4"/>
  <c r="L17" i="4"/>
  <c r="L3" i="4"/>
  <c r="F3" i="2" s="1"/>
  <c r="Q149" i="4"/>
  <c r="Q45" i="4"/>
  <c r="G45" i="2" s="1"/>
  <c r="Q9" i="4"/>
  <c r="G9" i="2" s="1"/>
  <c r="L233" i="4"/>
  <c r="L221" i="4"/>
  <c r="L209" i="4"/>
  <c r="L197" i="4"/>
  <c r="L185" i="4"/>
  <c r="L170" i="4"/>
  <c r="L124" i="4"/>
  <c r="L96" i="4"/>
  <c r="L16" i="4"/>
  <c r="Q148" i="4"/>
  <c r="Q136" i="4"/>
  <c r="Q100" i="4"/>
  <c r="Q44" i="4"/>
  <c r="G44" i="2" s="1"/>
  <c r="Q32" i="4"/>
  <c r="G32" i="2" s="1"/>
  <c r="L232" i="4"/>
  <c r="L220" i="4"/>
  <c r="L208" i="4"/>
  <c r="L196" i="4"/>
  <c r="L184" i="4"/>
  <c r="L169" i="4"/>
  <c r="L123" i="4"/>
  <c r="L108" i="4"/>
  <c r="Q135" i="4"/>
  <c r="Q31" i="4"/>
  <c r="G31" i="2" s="1"/>
  <c r="L231" i="4"/>
  <c r="L219" i="4"/>
  <c r="L207" i="4"/>
  <c r="L195" i="4"/>
  <c r="L183" i="4"/>
  <c r="L168" i="4"/>
  <c r="L122" i="4"/>
  <c r="Q134" i="4"/>
  <c r="Q30" i="4"/>
  <c r="G30" i="2" s="1"/>
  <c r="L120" i="4"/>
  <c r="L25" i="4"/>
  <c r="F25" i="2" s="1"/>
  <c r="Q157" i="4"/>
  <c r="Q29" i="4"/>
  <c r="G29" i="2" s="1"/>
  <c r="L132" i="4"/>
  <c r="E42" i="3"/>
  <c r="D35" i="2" s="1"/>
  <c r="L109" i="4" s="1"/>
  <c r="B43" i="3"/>
  <c r="C43" i="3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D43" i="3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A20" i="3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D20" i="3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44" i="3" l="1"/>
  <c r="E43" i="3"/>
  <c r="D36" i="2" s="1"/>
  <c r="L117" i="4" s="1"/>
  <c r="A21" i="3"/>
  <c r="E20" i="3"/>
  <c r="D57" i="2" s="1"/>
  <c r="Q117" i="4" s="1"/>
  <c r="B45" i="3" l="1"/>
  <c r="E44" i="3"/>
  <c r="D37" i="2" s="1"/>
  <c r="A22" i="3"/>
  <c r="E21" i="3"/>
  <c r="D58" i="2" s="1"/>
  <c r="B46" i="3" l="1"/>
  <c r="E45" i="3"/>
  <c r="D38" i="2" s="1"/>
  <c r="A23" i="3"/>
  <c r="E22" i="3"/>
  <c r="D59" i="2" s="1"/>
  <c r="B47" i="3" l="1"/>
  <c r="E46" i="3"/>
  <c r="D39" i="2" s="1"/>
  <c r="A24" i="3"/>
  <c r="E23" i="3"/>
  <c r="D60" i="2" s="1"/>
  <c r="B48" i="3" l="1"/>
  <c r="E47" i="3"/>
  <c r="D40" i="2" s="1"/>
  <c r="A25" i="3"/>
  <c r="E24" i="3"/>
  <c r="D61" i="2" s="1"/>
  <c r="B49" i="3" l="1"/>
  <c r="E48" i="3"/>
  <c r="D41" i="2" s="1"/>
  <c r="A26" i="3"/>
  <c r="E25" i="3"/>
  <c r="D62" i="2" s="1"/>
  <c r="B50" i="3" l="1"/>
  <c r="E49" i="3"/>
  <c r="D42" i="2" s="1"/>
  <c r="A27" i="3"/>
  <c r="E26" i="3"/>
  <c r="D63" i="2" s="1"/>
  <c r="B51" i="3" l="1"/>
  <c r="E50" i="3"/>
  <c r="D43" i="2" s="1"/>
  <c r="A28" i="3"/>
  <c r="E27" i="3"/>
  <c r="D64" i="2" s="1"/>
  <c r="B52" i="3" l="1"/>
  <c r="E51" i="3"/>
  <c r="D44" i="2" s="1"/>
  <c r="A29" i="3"/>
  <c r="E28" i="3"/>
  <c r="D65" i="2" s="1"/>
  <c r="B53" i="3" l="1"/>
  <c r="E52" i="3"/>
  <c r="D45" i="2" s="1"/>
  <c r="L125" i="4" s="1"/>
  <c r="A30" i="3"/>
  <c r="E29" i="3"/>
  <c r="D66" i="2" s="1"/>
  <c r="Q125" i="4" s="1"/>
  <c r="B54" i="3" l="1"/>
  <c r="E53" i="3"/>
  <c r="D46" i="2" s="1"/>
  <c r="L133" i="4" s="1"/>
  <c r="A31" i="3"/>
  <c r="E30" i="3"/>
  <c r="D67" i="2" s="1"/>
  <c r="Q133" i="4" s="1"/>
  <c r="B55" i="3" l="1"/>
  <c r="E54" i="3"/>
  <c r="D47" i="2" s="1"/>
  <c r="A32" i="3"/>
  <c r="E31" i="3"/>
  <c r="D68" i="2" s="1"/>
  <c r="B56" i="3" l="1"/>
  <c r="E55" i="3"/>
  <c r="D48" i="2" s="1"/>
  <c r="A33" i="3"/>
  <c r="E32" i="3"/>
  <c r="D69" i="2" s="1"/>
  <c r="B57" i="3" l="1"/>
  <c r="E56" i="3"/>
  <c r="D49" i="2" s="1"/>
  <c r="A34" i="3"/>
  <c r="E33" i="3"/>
  <c r="D70" i="2" s="1"/>
  <c r="B58" i="3" l="1"/>
  <c r="E57" i="3"/>
  <c r="D50" i="2" s="1"/>
  <c r="A35" i="3"/>
  <c r="E34" i="3"/>
  <c r="D71" i="2" s="1"/>
  <c r="B59" i="3" l="1"/>
  <c r="E58" i="3"/>
  <c r="D51" i="2" s="1"/>
  <c r="A36" i="3"/>
  <c r="E35" i="3"/>
  <c r="D72" i="2" s="1"/>
  <c r="B60" i="3" l="1"/>
  <c r="E59" i="3"/>
  <c r="D52" i="2" s="1"/>
  <c r="A37" i="3"/>
  <c r="E36" i="3"/>
  <c r="D73" i="2" s="1"/>
  <c r="B61" i="3" l="1"/>
  <c r="E61" i="3" s="1"/>
  <c r="D54" i="2" s="1"/>
  <c r="E60" i="3"/>
  <c r="D53" i="2" s="1"/>
  <c r="A38" i="3"/>
  <c r="E37" i="3"/>
  <c r="D74" i="2" s="1"/>
  <c r="A39" i="3" l="1"/>
  <c r="E39" i="3" s="1"/>
  <c r="D76" i="2" s="1"/>
  <c r="E38" i="3"/>
  <c r="D7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<sst xmlns="http://schemas.openxmlformats.org/spreadsheetml/2006/main" count="411" uniqueCount="260">
  <si>
    <t>BGP Autonmous Systems</t>
  </si>
  <si>
    <t>BGP Community Allocations</t>
  </si>
  <si>
    <t>Site</t>
  </si>
  <si>
    <t>Router Name</t>
  </si>
  <si>
    <t>BGP ASN</t>
  </si>
  <si>
    <t>Azure Central</t>
  </si>
  <si>
    <t>us-east-1</t>
  </si>
  <si>
    <t>us-east-2</t>
  </si>
  <si>
    <t>us-west-1</t>
  </si>
  <si>
    <t>us-west-2</t>
  </si>
  <si>
    <t>Value</t>
  </si>
  <si>
    <t>prod_csc_us-east-1_1_0</t>
  </si>
  <si>
    <t>MIAMI-2</t>
  </si>
  <si>
    <t>RESTON-1</t>
  </si>
  <si>
    <t>prod_csc_us-east-1_1_1</t>
  </si>
  <si>
    <t>025-AZ-EAST-US-RTR01</t>
  </si>
  <si>
    <t>LOSANGELES-2</t>
  </si>
  <si>
    <t>prod_csc_us-west-1_1_0</t>
  </si>
  <si>
    <t>SANJOSE-6</t>
  </si>
  <si>
    <t>prod_csc_us-west-1_1_1</t>
  </si>
  <si>
    <t>COLUMBUS-1</t>
  </si>
  <si>
    <t>COLUMBUS-2</t>
  </si>
  <si>
    <t>VEDC_AWS</t>
  </si>
  <si>
    <t>EDC_DCV2</t>
  </si>
  <si>
    <t>prod_aws_us-east-2_1_0</t>
  </si>
  <si>
    <t>prod_aws_us-east-2_1_1</t>
  </si>
  <si>
    <t>Azure East 1 Origin - 1234:3XX</t>
  </si>
  <si>
    <t>ANY</t>
  </si>
  <si>
    <t>All SSE prefixes</t>
  </si>
  <si>
    <t>Meraki SD-WAN Origin - 1234:2XX</t>
  </si>
  <si>
    <t>vMX Peer Router</t>
  </si>
  <si>
    <t>Cloud Region</t>
  </si>
  <si>
    <t>1234:200</t>
  </si>
  <si>
    <t>Any SD-WAN prefix</t>
  </si>
  <si>
    <t>Division</t>
  </si>
  <si>
    <t>Retail</t>
  </si>
  <si>
    <t>BSG</t>
  </si>
  <si>
    <t>1234:201</t>
  </si>
  <si>
    <t>1234:202</t>
  </si>
  <si>
    <t>Any Retail SD-WAN prefix</t>
  </si>
  <si>
    <t>Any BSG SD-WAN prefix</t>
  </si>
  <si>
    <t>name</t>
  </si>
  <si>
    <t>AZ-EAST</t>
  </si>
  <si>
    <t>Cisco Region</t>
  </si>
  <si>
    <t>PORTLAND-1</t>
  </si>
  <si>
    <t>PORTLAND-2</t>
  </si>
  <si>
    <t>prod_aws_us-west-2_1_0</t>
  </si>
  <si>
    <t>prod_aws_us-west-2_1_1</t>
  </si>
  <si>
    <t xml:space="preserve"> 53457:55</t>
  </si>
  <si>
    <t>Cisco SSE Origin - 53457:55 (55XX)</t>
  </si>
  <si>
    <t>Meraki Origin - 53457:44 (44XX)</t>
  </si>
  <si>
    <t>Azure Origin - 53457:33 (33XX)</t>
  </si>
  <si>
    <t xml:space="preserve"> 53457:5501</t>
  </si>
  <si>
    <t>53457:5502</t>
  </si>
  <si>
    <t>53457:5503</t>
  </si>
  <si>
    <t>53457:5504</t>
  </si>
  <si>
    <t>53457:5505</t>
  </si>
  <si>
    <t>53457:5506</t>
  </si>
  <si>
    <t>53457:5507</t>
  </si>
  <si>
    <t>53457:5508</t>
  </si>
  <si>
    <t>53457:5509</t>
  </si>
  <si>
    <t>53457:5510</t>
  </si>
  <si>
    <t>53457:5511</t>
  </si>
  <si>
    <t>53457:5512</t>
  </si>
  <si>
    <t>ALL US-EAST-1</t>
  </si>
  <si>
    <t>ALL US-WEST-1</t>
  </si>
  <si>
    <t>ALL US-EAST-2</t>
  </si>
  <si>
    <t>Added By Device:</t>
  </si>
  <si>
    <t>Purpose</t>
  </si>
  <si>
    <t>Cisco Canonical Site Name</t>
  </si>
  <si>
    <t>SSE DC Type</t>
  </si>
  <si>
    <t>Cisco Site</t>
  </si>
  <si>
    <t>ALL US-WEST-2</t>
  </si>
  <si>
    <t>Pre-Shared Key</t>
  </si>
  <si>
    <t>Local ASN</t>
  </si>
  <si>
    <t>SSE Cities</t>
  </si>
  <si>
    <t>YES-NO</t>
  </si>
  <si>
    <t>Yes</t>
  </si>
  <si>
    <t>No</t>
  </si>
  <si>
    <t>Example</t>
  </si>
  <si>
    <t>5.5.5.5</t>
  </si>
  <si>
    <t>Results</t>
  </si>
  <si>
    <t>Tunnel IP Addresses</t>
  </si>
  <si>
    <t>Tunnel IP Address Allocations</t>
  </si>
  <si>
    <t>/28 CIDR to support 20 total interfaces</t>
  </si>
  <si>
    <t>INPUT YELLOW CELLS</t>
  </si>
  <si>
    <t>SSE DCs</t>
  </si>
  <si>
    <t>SSE Primary DC Name</t>
  </si>
  <si>
    <t>Verify against NTG in SSE Admin UI</t>
  </si>
  <si>
    <t>SSE Secondary DC Name</t>
  </si>
  <si>
    <t>prod_csc_us-west-1_1_0 - LOSANGELES-2</t>
  </si>
  <si>
    <t>prod_csc_us-west-1_1_1 - SANJOSE-6</t>
  </si>
  <si>
    <t>ABCDEFGHIJKLMNO</t>
  </si>
  <si>
    <t>10.7.15.32</t>
  </si>
  <si>
    <t>Prefix Categories</t>
  </si>
  <si>
    <t>CISCO_SSE</t>
  </si>
  <si>
    <t>MERAKI</t>
  </si>
  <si>
    <t>AZURE</t>
  </si>
  <si>
    <t>Regions</t>
  </si>
  <si>
    <t>MERAKI_RETAIL</t>
  </si>
  <si>
    <t>MERAKI_BSG</t>
  </si>
  <si>
    <t>AZURE_EAST1</t>
  </si>
  <si>
    <t>AZURE_EAST2</t>
  </si>
  <si>
    <t>AWS_EAST2</t>
  </si>
  <si>
    <t>AZURE_CENTRAL</t>
  </si>
  <si>
    <t>Router 1 Name</t>
  </si>
  <si>
    <t>Router 2 Name</t>
  </si>
  <si>
    <t>Router 1</t>
  </si>
  <si>
    <t>Router 2</t>
  </si>
  <si>
    <t>10.7.15.64</t>
  </si>
  <si>
    <t>Do not include mask information</t>
  </si>
  <si>
    <t>This sheet only supports IP addresses that …</t>
  </si>
  <si>
    <t>… fit within a /24 boundary (x.x.x.0--x.x.x.254)</t>
  </si>
  <si>
    <t>N/A</t>
  </si>
  <si>
    <t>crypto ikev2 proposal sse-proposal </t>
  </si>
  <si>
    <t> encryption aes-gcm-256</t>
  </si>
  <si>
    <t> prf sha256</t>
  </si>
  <si>
    <t>!</t>
  </si>
  <si>
    <t>crypto ikev2 policy sse-policy </t>
  </si>
  <si>
    <t> proposal sse-proposal</t>
  </si>
  <si>
    <t>crypto ikev2 keyring sse-kr</t>
  </si>
  <si>
    <t> peer sse-secondary</t>
  </si>
  <si>
    <t> !</t>
  </si>
  <si>
    <t> peer sse-primary</t>
  </si>
  <si>
    <t>crypto ikev2 profile sse-primary-1</t>
  </si>
  <si>
    <t> authentication remote pre-share</t>
  </si>
  <si>
    <t> authentication local pre-share</t>
  </si>
  <si>
    <t> keyring local sse-kr</t>
  </si>
  <si>
    <t> dpd 10 3 periodic</t>
  </si>
  <si>
    <t>!         </t>
  </si>
  <si>
    <t>crypto ikev2 profile sse-primary-2</t>
  </si>
  <si>
    <t>crypto ikev2 profile sse-secondary-1</t>
  </si>
  <si>
    <t>crypto ikev2 profile sse-secondary-2</t>
  </si>
  <si>
    <t>interface Loopback1</t>
  </si>
  <si>
    <t> description source for interface tunnel 1</t>
  </si>
  <si>
    <t> ip nat inside</t>
  </si>
  <si>
    <t>interface Loopback2</t>
  </si>
  <si>
    <t> description source for interface tunnel 2</t>
  </si>
  <si>
    <t>interface Loopback11</t>
  </si>
  <si>
    <t> description source for interface tunnel 11</t>
  </si>
  <si>
    <t>interface Loopback12</t>
  </si>
  <si>
    <t> description source for interface tunnel 12</t>
  </si>
  <si>
    <t>!   </t>
  </si>
  <si>
    <t>interface Tunnel1</t>
  </si>
  <si>
    <t> ip tcp adjust-mss 1350</t>
  </si>
  <si>
    <t> tunnel source Loopback1</t>
  </si>
  <si>
    <t> tunnel mode ipsec ipv4</t>
  </si>
  <si>
    <t> tunnel protection ipsec profile sse-ipsec-primary-1</t>
  </si>
  <si>
    <t>interface Tunnel2</t>
  </si>
  <si>
    <t> tunnel source Loopback2</t>
  </si>
  <si>
    <t> tunnel protection ipsec profile sse-ipsec-primary-2</t>
  </si>
  <si>
    <t>interface Tunnel11</t>
  </si>
  <si>
    <t> tunnel source Loopback11</t>
  </si>
  <si>
    <t> tunnel protection ipsec profile sse-ipsec-secondary-1</t>
  </si>
  <si>
    <t>interface Tunnel12</t>
  </si>
  <si>
    <t> tunnel source Loopback12</t>
  </si>
  <si>
    <t> tunnel protection ipsec profile sse-ipsec-secondary-2</t>
  </si>
  <si>
    <t>interface GigabitEthernet1</t>
  </si>
  <si>
    <t> ip nat outside</t>
  </si>
  <si>
    <t> bgp log-neighbor-changes</t>
  </si>
  <si>
    <t> neighbor 169.254.0.1 ebgp-multihop 255</t>
  </si>
  <si>
    <t> neighbor 169.254.0.1 update-source Tunnel1</t>
  </si>
  <si>
    <t> neighbor 169.254.0.2 ebgp-multihop 255</t>
  </si>
  <si>
    <t> neighbor 169.254.0.2 update-source Tunnel2</t>
  </si>
  <si>
    <t> neighbor 169.254.0.11 ebgp-multihop 255</t>
  </si>
  <si>
    <t> neighbor 169.254.0.11 update-source Tunnel11</t>
  </si>
  <si>
    <t> neighbor 169.254.0.12 ebgp-multihop 255</t>
  </si>
  <si>
    <t> neighbor 169.254.0.12 update-source Tunnel12</t>
  </si>
  <si>
    <t> !        </t>
  </si>
  <si>
    <t> address-family ipv4</t>
  </si>
  <si>
    <t> exit-address-family</t>
  </si>
  <si>
    <t>BGP RID (interface Gigabit Ethernet 1 IP address)</t>
  </si>
  <si>
    <t>9.9.9.9</t>
  </si>
  <si>
    <t>ip route 169.254.0.1 255.255.255.255 Tunnel1</t>
  </si>
  <si>
    <t>ip route 169.254.0.2 255.255.255.255 Tunnel2</t>
  </si>
  <si>
    <t>ip route 169.254.0.11 255.255.255.255 Tunnel11</t>
  </si>
  <si>
    <t>ip route 169.254.0.12 255.255.255.255 Tunnel12</t>
  </si>
  <si>
    <t>route-map FROM_SSE_IMPORT deny 999 </t>
  </si>
  <si>
    <t>route-map TO_SSE_EXPORT permit 5 </t>
  </si>
  <si>
    <t> match ip address prefix-list AZURE_CENTRAL_PREFIXES</t>
  </si>
  <si>
    <t> set as-path prepend 64514 64514 64514</t>
  </si>
  <si>
    <t>route-map TO_SSE_EXPORT permit 10 </t>
  </si>
  <si>
    <t> match ip address prefix-list RFC1918_SUMMARIES</t>
  </si>
  <si>
    <t>route-map TO_SSE_EXPORT permit 15 </t>
  </si>
  <si>
    <t> match ip address prefix-list CISCO_MGMT_IOS</t>
  </si>
  <si>
    <t> set as-path prepend 64514 64514</t>
  </si>
  <si>
    <t>ip bgp-community new-format </t>
  </si>
  <si>
    <t> group 20</t>
  </si>
  <si>
    <t>6.6.6.6</t>
  </si>
  <si>
    <t>TEXTSPLIT</t>
  </si>
  <si>
    <t>TEXTJOIN</t>
  </si>
  <si>
    <t>  address X.X.X.X</t>
  </si>
  <si>
    <t>  pre-shared-key local</t>
  </si>
  <si>
    <t>  pre-shared-key remote</t>
  </si>
  <si>
    <t>Generated Configuration</t>
  </si>
  <si>
    <t> match identity remote address X.X.X.X 255.255.255.255 </t>
  </si>
  <si>
    <t> identity local email XXX@XXX.COM</t>
  </si>
  <si>
    <t>router1</t>
  </si>
  <si>
    <t> ip address 100.64.255.1 255.255.255.255</t>
  </si>
  <si>
    <t> ip address 100.64.255.2 255.255.255.255</t>
  </si>
  <si>
    <t> ip address 100.64.255.12 255.255.255.255</t>
  </si>
  <si>
    <t> ip address 100.64.255.11 255.255.255.255</t>
  </si>
  <si>
    <t> ip address X.X.X.X 255.255.255.255</t>
  </si>
  <si>
    <t> tunnel destination X.X.X.X</t>
  </si>
  <si>
    <t>router bgp XXXXX</t>
  </si>
  <si>
    <t> bgp router-id X.X.X.X</t>
  </si>
  <si>
    <t> neighbor CISCO_SSE peer-group</t>
  </si>
  <si>
    <t> neighbor CISCO_SSE remote-as 32644</t>
  </si>
  <si>
    <t> neighbor 169.254.0.1 peer-group CISCO_SSE</t>
  </si>
  <si>
    <t> neighbor 169.254.0.2 peer-group CISCO_SSE</t>
  </si>
  <si>
    <t> neighbor 169.254.0.11 peer-group CISCO_SSE</t>
  </si>
  <si>
    <t> neighbor 169.254.0.12 peer-group CISCO_SSE</t>
  </si>
  <si>
    <t>  neighbor CISCO_SSE send-community both</t>
  </si>
  <si>
    <t>  neighbor CISCO_SSE soft-reconfiguration inbound</t>
  </si>
  <si>
    <t>  neighbor CISCO_SSE route-map FROM_SSE_IMPORT in</t>
  </si>
  <si>
    <t>  neighbor CISCO_SSE route-map TO_SSE_EXPORT out</t>
  </si>
  <si>
    <t>TEMPLATE</t>
  </si>
  <si>
    <t>router 2</t>
  </si>
  <si>
    <t>SSE Head-End Primary IP</t>
  </si>
  <si>
    <t>SSE Head-End Secondary IP</t>
  </si>
  <si>
    <t>SSE Primary Identity
(prefix only)</t>
  </si>
  <si>
    <t>SSE Secondary Identity
(prefix only)</t>
  </si>
  <si>
    <t>test2</t>
  </si>
  <si>
    <t>test4</t>
  </si>
  <si>
    <t>ll0wN3t3ng123456</t>
  </si>
  <si>
    <t>SSE Primary Tunnel ID</t>
  </si>
  <si>
    <t xml:space="preserve">crypto ipsec transform-set sse-ts esp-gcm 256 </t>
  </si>
  <si>
    <t xml:space="preserve"> mode tunnel</t>
  </si>
  <si>
    <t>crypto ipsec profile sse-ipsec-primary-1</t>
  </si>
  <si>
    <t xml:space="preserve"> set transform-set sse-ts </t>
  </si>
  <si>
    <t xml:space="preserve"> set ikev2-profile sse-primary-1</t>
  </si>
  <si>
    <t>crypto ipsec profile sse-ipsec-primary-2</t>
  </si>
  <si>
    <t xml:space="preserve"> set ikev2-profile sse-primary-2</t>
  </si>
  <si>
    <t>crypto ipsec profile sse-ipsec-secondary-1</t>
  </si>
  <si>
    <t xml:space="preserve"> set ikev2-profile sse-secondary-1</t>
  </si>
  <si>
    <t>crypto ipsec profile sse-ipsec-secondary-2</t>
  </si>
  <si>
    <t xml:space="preserve"> set ikev2-profile sse-secondary-2</t>
  </si>
  <si>
    <t> 10 permit ip 100.64.255.0 0.0.0.255 any</t>
  </si>
  <si>
    <t>ip access-list extended SSE_IKE_NAT</t>
  </si>
  <si>
    <t>ip nat inside source list SSE_IKE_NAT interface GigabitEthernet1 overload</t>
  </si>
  <si>
    <t>&lt;ORGID&gt;-&lt;TUNNELID&gt;</t>
  </si>
  <si>
    <t>Route Policy to/from SSE</t>
  </si>
  <si>
    <t>Advertise SD-WAN Prefixes</t>
  </si>
  <si>
    <t>Advertise Cloud Prefixes</t>
  </si>
  <si>
    <t>Changes route map to export local SD-WAN prefixes to SSE.   SD-WAN prefix export should occur only at select peering points.</t>
  </si>
  <si>
    <t>Changes route map to export local cloud prefixes to SSE.  Typically should be "yes".</t>
  </si>
  <si>
    <t>DRAFT - IN TEST MODE:  billgra@cisco.com</t>
  </si>
  <si>
    <t>BEST VIEWED IN FULL EXCEL CLIENT - not web</t>
  </si>
  <si>
    <t>CiscoIOSB-EastUS-Region</t>
  </si>
  <si>
    <t>10.53.0.198</t>
  </si>
  <si>
    <t>3.141.141.165</t>
  </si>
  <si>
    <t>3.140.13.195</t>
  </si>
  <si>
    <t>8363425-667398686</t>
  </si>
  <si>
    <t>8363425-667398687</t>
  </si>
  <si>
    <t>CiscoIOSA-vHub-CentralUS</t>
  </si>
  <si>
    <t>10.255.0.5</t>
  </si>
  <si>
    <t>8363425-667481483</t>
  </si>
  <si>
    <t>8363425-667481484</t>
  </si>
  <si>
    <t>prod_aws_us-east-2_1_0 - COLUMBUS-1</t>
  </si>
  <si>
    <t>prod_aws_us-east-2_1_1 - COLUMBUS-2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</si>
</sst>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ourier New"/>
      <family val="1"/>
    </font>
    <font>
      <sz val="14"/>
      <color theme="1"/>
      <name val="Courier New"/>
      <family val="1"/>
    </font>
    <font>
      <sz val="15"/>
      <color rgb="FF000000"/>
      <name val="Menlo"/>
      <family val="2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7030A0"/>
      <name val="Courier New"/>
      <family val="1"/>
    </font>
    <font>
      <sz val="11"/>
      <color rgb="FF0070C0"/>
      <name val="Courier New"/>
      <family val="1"/>
    </font>
    <font>
      <sz val="14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 style="slantDashDot">
        <color auto="1"/>
      </left>
      <right/>
      <top style="slantDashDot">
        <color auto="1"/>
      </top>
      <bottom style="slantDashDot">
        <color auto="1"/>
      </bottom>
      <diagonal/>
    </border>
    <border>
      <left/>
      <right/>
      <top style="slantDashDot">
        <color auto="1"/>
      </top>
      <bottom style="slantDashDot">
        <color auto="1"/>
      </bottom>
      <diagonal/>
    </border>
    <border>
      <left/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7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/>
    </xf>
    <xf numFmtId="0" fontId="14" fillId="2" borderId="13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  <xf numFmtId="0" fontId="12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0" fontId="11" fillId="3" borderId="19" xfId="0" applyFont="1" applyFill="1" applyBorder="1" applyAlignment="1">
      <alignment horizontal="right"/>
    </xf>
    <xf numFmtId="0" fontId="15" fillId="3" borderId="20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right" wrapText="1"/>
    </xf>
    <xf numFmtId="0" fontId="15" fillId="2" borderId="0" xfId="0" applyFont="1" applyFill="1" applyAlignment="1">
      <alignment horizontal="center" vertical="center"/>
    </xf>
    <xf numFmtId="0" fontId="11" fillId="0" borderId="19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1" fillId="3" borderId="19" xfId="0" applyFont="1" applyFill="1" applyBorder="1" applyAlignment="1">
      <alignment horizontal="right" vertical="center"/>
    </xf>
    <xf numFmtId="0" fontId="11" fillId="3" borderId="19" xfId="0" applyFont="1" applyFill="1" applyBorder="1" applyAlignment="1">
      <alignment horizontal="right" vertical="center" wrapText="1"/>
    </xf>
    <xf numFmtId="0" fontId="11" fillId="0" borderId="19" xfId="0" applyFont="1" applyBorder="1"/>
    <xf numFmtId="0" fontId="15" fillId="0" borderId="0" xfId="0" applyFont="1" applyAlignment="1">
      <alignment vertical="center"/>
    </xf>
    <xf numFmtId="0" fontId="11" fillId="3" borderId="21" xfId="0" applyFont="1" applyFill="1" applyBorder="1" applyAlignment="1">
      <alignment horizontal="right" vertical="center"/>
    </xf>
    <xf numFmtId="0" fontId="15" fillId="2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/>
    </xf>
    <xf numFmtId="0" fontId="12" fillId="0" borderId="16" xfId="0" applyFont="1" applyBorder="1" applyAlignment="1">
      <alignment horizontal="center" wrapText="1"/>
    </xf>
    <xf numFmtId="0" fontId="13" fillId="3" borderId="19" xfId="0" applyFont="1" applyFill="1" applyBorder="1" applyAlignment="1">
      <alignment horizontal="right" vertical="center"/>
    </xf>
    <xf numFmtId="0" fontId="14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3" fillId="3" borderId="21" xfId="0" applyFont="1" applyFill="1" applyBorder="1" applyAlignment="1">
      <alignment horizontal="right" vertical="center"/>
    </xf>
    <xf numFmtId="0" fontId="14" fillId="2" borderId="22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5" fillId="3" borderId="20" xfId="0" applyFont="1" applyFill="1" applyBorder="1" applyAlignment="1">
      <alignment horizontal="center" vertical="center"/>
    </xf>
    <xf numFmtId="0" fontId="0" fillId="3" borderId="19" xfId="0" applyFill="1" applyBorder="1"/>
    <xf numFmtId="0" fontId="0" fillId="3" borderId="21" xfId="0" applyFill="1" applyBorder="1"/>
    <xf numFmtId="0" fontId="11" fillId="3" borderId="25" xfId="0" applyFont="1" applyFill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3" fillId="3" borderId="19" xfId="0" applyFont="1" applyFill="1" applyBorder="1"/>
    <xf numFmtId="0" fontId="13" fillId="3" borderId="25" xfId="0" applyFont="1" applyFill="1" applyBorder="1" applyAlignment="1">
      <alignment vertical="center"/>
    </xf>
    <xf numFmtId="0" fontId="7" fillId="3" borderId="20" xfId="0" applyFont="1" applyFill="1" applyBorder="1" applyAlignment="1">
      <alignment horizontal="center" vertical="center" wrapText="1"/>
    </xf>
    <xf numFmtId="0" fontId="0" fillId="3" borderId="0" xfId="0" applyFill="1"/>
    <xf numFmtId="0" fontId="7" fillId="3" borderId="20" xfId="0" applyFont="1" applyFill="1" applyBorder="1" applyAlignment="1">
      <alignment horizontal="center"/>
    </xf>
    <xf numFmtId="0" fontId="0" fillId="3" borderId="25" xfId="0" applyFill="1" applyBorder="1"/>
    <xf numFmtId="0" fontId="7" fillId="3" borderId="23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right" vertical="center"/>
    </xf>
    <xf numFmtId="0" fontId="17" fillId="3" borderId="26" xfId="0" applyFont="1" applyFill="1" applyBorder="1" applyAlignment="1">
      <alignment horizontal="right" vertical="center"/>
    </xf>
    <xf numFmtId="0" fontId="0" fillId="3" borderId="26" xfId="0" applyFill="1" applyBorder="1" applyAlignment="1">
      <alignment horizontal="right" vertical="center"/>
    </xf>
    <xf numFmtId="0" fontId="7" fillId="2" borderId="28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18" fillId="5" borderId="0" xfId="0" applyFont="1" applyFill="1"/>
    <xf numFmtId="0" fontId="0" fillId="3" borderId="19" xfId="0" applyFill="1" applyBorder="1" applyAlignment="1">
      <alignment horizontal="right" vertical="center"/>
    </xf>
    <xf numFmtId="0" fontId="12" fillId="3" borderId="16" xfId="0" applyFont="1" applyFill="1" applyBorder="1" applyAlignment="1">
      <alignment horizontal="right" vertical="center"/>
    </xf>
    <xf numFmtId="0" fontId="10" fillId="3" borderId="16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4</xdr:row>
      <xdr:rowOff>50800</xdr:rowOff>
    </xdr:from>
    <xdr:to>
      <xdr:col>9</xdr:col>
      <xdr:colOff>774700</xdr:colOff>
      <xdr:row>45</xdr:row>
      <xdr:rowOff>128863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846BEF-5077-3876-752D-51CDE989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812800"/>
          <a:ext cx="7772400" cy="78885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1519-D1B8-0045-8D44-28911C5D8E37}">
  <sheetPr codeName="Sheet2"/>
  <dimension ref="B1:G262"/>
  <sheetViews>
    <sheetView tabSelected="1" topLeftCell="C149" zoomScale="150" zoomScaleNormal="150" workbookViewId="0">
      <selection activeCell="F184" sqref="F184"/>
    </sheetView>
  </sheetViews>
  <sheetFormatPr baseColWidth="10" defaultRowHeight="15" x14ac:dyDescent="0.2"/>
  <cols>
    <col min="1" max="1" width="4.5" customWidth="1"/>
    <col min="2" max="2" width="42.6640625" customWidth="1"/>
    <col min="3" max="3" width="46.5" customWidth="1"/>
    <col min="4" max="4" width="38.5" customWidth="1"/>
    <col min="5" max="5" width="6.83203125" customWidth="1"/>
    <col min="6" max="6" width="71" customWidth="1"/>
    <col min="7" max="7" width="61.6640625" customWidth="1"/>
  </cols>
  <sheetData>
    <row r="1" spans="2:7" ht="21" thickBot="1" x14ac:dyDescent="0.3">
      <c r="B1" s="94" t="s">
        <v>246</v>
      </c>
      <c r="C1" s="5" t="s">
        <v>85</v>
      </c>
      <c r="D1" s="5" t="s">
        <v>79</v>
      </c>
      <c r="E1" s="5"/>
      <c r="F1" s="98" t="s">
        <v>194</v>
      </c>
      <c r="G1" s="98"/>
    </row>
    <row r="2" spans="2:7" s="21" customFormat="1" ht="21" thickTop="1" x14ac:dyDescent="0.2">
      <c r="B2" s="21" t="s">
        <v>247</v>
      </c>
      <c r="F2" s="32" t="str">
        <f>C4</f>
        <v>CiscoIOSA-vHub-CentralUS</v>
      </c>
      <c r="G2" s="35" t="str">
        <f>C5</f>
        <v>CiscoIOSB-EastUS-Region</v>
      </c>
    </row>
    <row r="3" spans="2:7" s="21" customFormat="1" ht="20" thickBot="1" x14ac:dyDescent="0.25">
      <c r="C3" s="5"/>
      <c r="D3" s="5"/>
      <c r="E3" s="5"/>
      <c r="F3" s="33" t="str">
        <f>_cfg_parts!L3</f>
        <v>crypto ikev2 proposal sse-proposal </v>
      </c>
      <c r="G3" s="34" t="str">
        <f>_cfg_parts!Q3</f>
        <v>crypto ikev2 proposal sse-proposal </v>
      </c>
    </row>
    <row r="4" spans="2:7" s="21" customFormat="1" ht="27" customHeight="1" thickTop="1" thickBot="1" x14ac:dyDescent="0.3">
      <c r="B4" s="86" t="s">
        <v>105</v>
      </c>
      <c r="C4" s="84" t="s">
        <v>254</v>
      </c>
      <c r="D4" s="3"/>
      <c r="E4" s="5"/>
      <c r="F4" s="33" t="str">
        <f>_cfg_parts!L4</f>
        <v> encryption aes-gcm-256</v>
      </c>
      <c r="G4" s="34" t="str">
        <f>_cfg_parts!Q4</f>
        <v> encryption aes-gcm-256</v>
      </c>
    </row>
    <row r="5" spans="2:7" s="21" customFormat="1" ht="27" customHeight="1" thickTop="1" thickBot="1" x14ac:dyDescent="0.3">
      <c r="B5" s="87" t="s">
        <v>106</v>
      </c>
      <c r="C5" s="85" t="s">
        <v>248</v>
      </c>
      <c r="D5" s="3"/>
      <c r="E5" s="5"/>
      <c r="F5" s="33" t="str">
        <f>_cfg_parts!L5</f>
        <v> prf sha256</v>
      </c>
      <c r="G5" s="34" t="str">
        <f>_cfg_parts!Q5</f>
        <v> prf sha256</v>
      </c>
    </row>
    <row r="6" spans="2:7" s="21" customFormat="1" ht="20" customHeight="1" thickTop="1" thickBot="1" x14ac:dyDescent="0.3">
      <c r="B6" s="4"/>
      <c r="D6" s="3"/>
      <c r="E6" s="5"/>
      <c r="F6" s="33" t="str">
        <f>_cfg_parts!L6</f>
        <v> group 20</v>
      </c>
      <c r="G6" s="34" t="str">
        <f>_cfg_parts!Q6</f>
        <v> group 20</v>
      </c>
    </row>
    <row r="7" spans="2:7" s="21" customFormat="1" ht="20" customHeight="1" thickTop="1" x14ac:dyDescent="0.25">
      <c r="B7" s="38" t="s">
        <v>107</v>
      </c>
      <c r="C7" s="39"/>
      <c r="D7" s="40"/>
      <c r="E7" s="5"/>
      <c r="F7" s="33" t="str">
        <f>_cfg_parts!L7</f>
        <v>!</v>
      </c>
      <c r="G7" s="34" t="str">
        <f>_cfg_parts!Q7</f>
        <v>!</v>
      </c>
    </row>
    <row r="8" spans="2:7" ht="20" customHeight="1" x14ac:dyDescent="0.2">
      <c r="B8" s="41" t="s">
        <v>218</v>
      </c>
      <c r="C8" s="31" t="s">
        <v>250</v>
      </c>
      <c r="D8" s="42" t="s">
        <v>80</v>
      </c>
      <c r="F8" s="33" t="str">
        <f>_cfg_parts!L8</f>
        <v>crypto ikev2 policy sse-policy </v>
      </c>
      <c r="G8" s="34" t="str">
        <f>_cfg_parts!Q8</f>
        <v>crypto ikev2 policy sse-policy </v>
      </c>
    </row>
    <row r="9" spans="2:7" ht="20" customHeight="1" x14ac:dyDescent="0.2">
      <c r="B9" s="43" t="s">
        <v>225</v>
      </c>
      <c r="C9" s="44" t="s">
        <v>256</v>
      </c>
      <c r="D9" s="42" t="s">
        <v>240</v>
      </c>
      <c r="F9" s="33" t="str">
        <f>_cfg_parts!L9</f>
        <v> proposal sse-proposal</v>
      </c>
      <c r="G9" s="34" t="str">
        <f>_cfg_parts!Q9</f>
        <v> proposal sse-proposal</v>
      </c>
    </row>
    <row r="10" spans="2:7" ht="20" customHeight="1" x14ac:dyDescent="0.2">
      <c r="B10" s="41" t="s">
        <v>87</v>
      </c>
      <c r="C10" s="31" t="s">
        <v>258</v>
      </c>
      <c r="D10" s="42" t="s">
        <v>88</v>
      </c>
      <c r="F10" s="33" t="str">
        <f>_cfg_parts!L10</f>
        <v>!</v>
      </c>
      <c r="G10" s="34" t="str">
        <f>_cfg_parts!Q10</f>
        <v>!</v>
      </c>
    </row>
    <row r="11" spans="2:7" ht="20" customHeight="1" x14ac:dyDescent="0.2">
      <c r="B11" s="45"/>
      <c r="C11" s="46"/>
      <c r="D11" s="42"/>
      <c r="F11" s="33" t="str">
        <f>_cfg_parts!L11</f>
        <v>crypto ikev2 keyring sse-kr</v>
      </c>
      <c r="G11" s="34" t="str">
        <f>_cfg_parts!Q11</f>
        <v>crypto ikev2 keyring sse-kr</v>
      </c>
    </row>
    <row r="12" spans="2:7" ht="20" customHeight="1" x14ac:dyDescent="0.2">
      <c r="B12" s="47" t="s">
        <v>219</v>
      </c>
      <c r="C12" s="31" t="s">
        <v>251</v>
      </c>
      <c r="D12" s="42" t="s">
        <v>188</v>
      </c>
      <c r="F12" s="33" t="str">
        <f>_cfg_parts!L12</f>
        <v> peer sse-secondary</v>
      </c>
      <c r="G12" s="34" t="str">
        <f>_cfg_parts!Q12</f>
        <v> peer sse-secondary</v>
      </c>
    </row>
    <row r="13" spans="2:7" ht="33" customHeight="1" x14ac:dyDescent="0.2">
      <c r="B13" s="48" t="s">
        <v>221</v>
      </c>
      <c r="C13" s="31" t="s">
        <v>257</v>
      </c>
      <c r="D13" s="42" t="s">
        <v>222</v>
      </c>
      <c r="F13" s="33" t="str">
        <f>_cfg_parts!L13</f>
        <v>  address 3.140.13.195</v>
      </c>
      <c r="G13" s="34" t="str">
        <f>_cfg_parts!Q13</f>
        <v>  address 3.140.13.195</v>
      </c>
    </row>
    <row r="14" spans="2:7" ht="25" customHeight="1" x14ac:dyDescent="0.2">
      <c r="B14" s="47" t="s">
        <v>89</v>
      </c>
      <c r="C14" s="31" t="s">
        <v>259</v>
      </c>
      <c r="D14" s="42" t="s">
        <v>88</v>
      </c>
      <c r="F14" s="33" t="str">
        <f>_cfg_parts!L14</f>
        <v>  pre-shared-key local ll0wN3t3ng123456</v>
      </c>
      <c r="G14" s="34" t="str">
        <f>_cfg_parts!Q14</f>
        <v>  pre-shared-key local ll0wN3t3ng123456</v>
      </c>
    </row>
    <row r="15" spans="2:7" ht="20" customHeight="1" x14ac:dyDescent="0.2">
      <c r="B15" s="49"/>
      <c r="C15" s="50"/>
      <c r="D15" s="42"/>
      <c r="F15" s="33" t="str">
        <f>_cfg_parts!L15</f>
        <v>  pre-shared-key remote ll0wN3t3ng123456</v>
      </c>
      <c r="G15" s="34" t="str">
        <f>_cfg_parts!Q15</f>
        <v>  pre-shared-key remote ll0wN3t3ng123456</v>
      </c>
    </row>
    <row r="16" spans="2:7" ht="20" customHeight="1" x14ac:dyDescent="0.2">
      <c r="B16" s="47" t="s">
        <v>171</v>
      </c>
      <c r="C16" s="31" t="s">
        <v>255</v>
      </c>
      <c r="D16" s="42" t="s">
        <v>172</v>
      </c>
      <c r="F16" s="33" t="str">
        <f>_cfg_parts!L16</f>
        <v> !</v>
      </c>
      <c r="G16" s="34" t="str">
        <f>_cfg_parts!Q16</f>
        <v> !</v>
      </c>
    </row>
    <row r="17" spans="2:7" ht="20" customHeight="1" thickBot="1" x14ac:dyDescent="0.25">
      <c r="B17" s="51" t="s">
        <v>74</v>
      </c>
      <c r="C17" s="52">
        <v>65461</v>
      </c>
      <c r="D17" s="53">
        <v>65412</v>
      </c>
      <c r="F17" s="33" t="str">
        <f>_cfg_parts!L17</f>
        <v> peer sse-primary</v>
      </c>
      <c r="G17" s="34" t="str">
        <f>_cfg_parts!Q17</f>
        <v> peer sse-primary</v>
      </c>
    </row>
    <row r="18" spans="2:7" ht="20" customHeight="1" thickTop="1" thickBot="1" x14ac:dyDescent="0.25">
      <c r="B18" s="24"/>
      <c r="C18" s="25"/>
      <c r="D18" s="29"/>
      <c r="F18" s="33" t="str">
        <f>_cfg_parts!L18</f>
        <v>  address 3.141.141.165</v>
      </c>
      <c r="G18" s="34" t="str">
        <f>_cfg_parts!Q18</f>
        <v>  address 3.141.141.165</v>
      </c>
    </row>
    <row r="19" spans="2:7" s="21" customFormat="1" ht="20" customHeight="1" thickTop="1" x14ac:dyDescent="0.25">
      <c r="B19" s="54" t="s">
        <v>108</v>
      </c>
      <c r="C19" s="39"/>
      <c r="D19" s="40"/>
      <c r="E19" s="5"/>
      <c r="F19" s="33" t="str">
        <f>_cfg_parts!L19</f>
        <v>  pre-shared-key local ll0wN3t3ng123456</v>
      </c>
      <c r="G19" s="34" t="str">
        <f>_cfg_parts!Q19</f>
        <v>  pre-shared-key local ll0wN3t3ng123456</v>
      </c>
    </row>
    <row r="20" spans="2:7" ht="20" customHeight="1" x14ac:dyDescent="0.2">
      <c r="B20" s="55" t="s">
        <v>218</v>
      </c>
      <c r="C20" s="30" t="s">
        <v>250</v>
      </c>
      <c r="D20" s="56" t="s">
        <v>80</v>
      </c>
      <c r="F20" s="33" t="str">
        <f>_cfg_parts!L20</f>
        <v>  pre-shared-key remote ll0wN3t3ng123456</v>
      </c>
      <c r="G20" s="34" t="str">
        <f>_cfg_parts!Q20</f>
        <v>  pre-shared-key remote ll0wN3t3ng123456</v>
      </c>
    </row>
    <row r="21" spans="2:7" ht="35" customHeight="1" x14ac:dyDescent="0.2">
      <c r="B21" s="57" t="s">
        <v>220</v>
      </c>
      <c r="C21" s="58" t="s">
        <v>252</v>
      </c>
      <c r="D21" s="56" t="s">
        <v>240</v>
      </c>
      <c r="F21" s="33" t="str">
        <f>_cfg_parts!L21</f>
        <v> !</v>
      </c>
      <c r="G21" s="34" t="str">
        <f>_cfg_parts!Q21</f>
        <v> !</v>
      </c>
    </row>
    <row r="22" spans="2:7" ht="20" customHeight="1" x14ac:dyDescent="0.2">
      <c r="B22" s="55" t="s">
        <v>87</v>
      </c>
      <c r="C22" s="30" t="s">
        <v>90</v>
      </c>
      <c r="D22" s="56" t="s">
        <v>88</v>
      </c>
      <c r="F22" s="33" t="str">
        <f>_cfg_parts!L22</f>
        <v>!</v>
      </c>
      <c r="G22" s="34" t="str">
        <f>_cfg_parts!Q22</f>
        <v>!</v>
      </c>
    </row>
    <row r="23" spans="2:7" ht="20" customHeight="1" x14ac:dyDescent="0.2">
      <c r="B23" s="59"/>
      <c r="C23" s="60"/>
      <c r="D23" s="56"/>
      <c r="F23" s="33" t="str">
        <f>_cfg_parts!L23</f>
        <v>!</v>
      </c>
      <c r="G23" s="34" t="str">
        <f>_cfg_parts!Q23</f>
        <v>!</v>
      </c>
    </row>
    <row r="24" spans="2:7" ht="20" customHeight="1" x14ac:dyDescent="0.2">
      <c r="B24" s="55" t="s">
        <v>219</v>
      </c>
      <c r="C24" s="30" t="s">
        <v>251</v>
      </c>
      <c r="D24" s="56" t="s">
        <v>80</v>
      </c>
      <c r="F24" s="33" t="str">
        <f>_cfg_parts!L24</f>
        <v>crypto ikev2 profile sse-primary-1</v>
      </c>
      <c r="G24" s="34" t="str">
        <f>_cfg_parts!Q24</f>
        <v>crypto ikev2 profile sse-primary-1</v>
      </c>
    </row>
    <row r="25" spans="2:7" ht="37" customHeight="1" x14ac:dyDescent="0.2">
      <c r="B25" s="57" t="s">
        <v>221</v>
      </c>
      <c r="C25" s="30" t="s">
        <v>253</v>
      </c>
      <c r="D25" s="56" t="s">
        <v>223</v>
      </c>
      <c r="F25" s="33" t="str">
        <f>_cfg_parts!L25</f>
        <v> match identity remote address 3.141.141.165 255.255.255.255 </v>
      </c>
      <c r="G25" s="34" t="str">
        <f>_cfg_parts!Q25</f>
        <v> match identity remote address 3.141.141.165 255.255.255.255 </v>
      </c>
    </row>
    <row r="26" spans="2:7" ht="48" customHeight="1" x14ac:dyDescent="0.2">
      <c r="B26" s="55" t="s">
        <v>89</v>
      </c>
      <c r="C26" s="30" t="s">
        <v>91</v>
      </c>
      <c r="D26" s="56" t="s">
        <v>88</v>
      </c>
      <c r="F26" s="33" t="str">
        <f>_cfg_parts!L26</f>
        <v> identity local email CiscoIOSA-vHub-CentralUS+tunnel1@8363425-667481483-sse.cisco.com</v>
      </c>
      <c r="G26" s="34" t="str">
        <f>_cfg_parts!Q26</f>
        <v> identity local email CiscoIOSB-EastUS-Region+tunnel1@8363425-667398686-sse.cisco.com</v>
      </c>
    </row>
    <row r="27" spans="2:7" ht="20" customHeight="1" x14ac:dyDescent="0.2">
      <c r="B27" s="61"/>
      <c r="C27" s="62"/>
      <c r="D27" s="56"/>
      <c r="F27" s="33" t="str">
        <f>_cfg_parts!L27</f>
        <v> authentication remote pre-share</v>
      </c>
      <c r="G27" s="34" t="str">
        <f>_cfg_parts!Q27</f>
        <v> authentication remote pre-share</v>
      </c>
    </row>
    <row r="28" spans="2:7" ht="20" customHeight="1" x14ac:dyDescent="0.2">
      <c r="B28" s="55" t="s">
        <v>171</v>
      </c>
      <c r="C28" s="30" t="s">
        <v>249</v>
      </c>
      <c r="D28" s="56" t="s">
        <v>172</v>
      </c>
      <c r="F28" s="33" t="str">
        <f>_cfg_parts!L28</f>
        <v> authentication local pre-share</v>
      </c>
      <c r="G28" s="34" t="str">
        <f>_cfg_parts!Q28</f>
        <v> authentication local pre-share</v>
      </c>
    </row>
    <row r="29" spans="2:7" ht="20" customHeight="1" thickBot="1" x14ac:dyDescent="0.25">
      <c r="B29" s="63" t="s">
        <v>74</v>
      </c>
      <c r="C29" s="64">
        <v>64517</v>
      </c>
      <c r="D29" s="65">
        <v>65412</v>
      </c>
      <c r="F29" s="33" t="str">
        <f>_cfg_parts!L29</f>
        <v> keyring local sse-kr</v>
      </c>
      <c r="G29" s="34" t="str">
        <f>_cfg_parts!Q29</f>
        <v> keyring local sse-kr</v>
      </c>
    </row>
    <row r="30" spans="2:7" ht="20" customHeight="1" thickTop="1" x14ac:dyDescent="0.2">
      <c r="C30" s="36"/>
      <c r="F30" s="33" t="str">
        <f>_cfg_parts!L30</f>
        <v> dpd 10 3 periodic</v>
      </c>
      <c r="G30" s="34" t="str">
        <f>_cfg_parts!Q30</f>
        <v> dpd 10 3 periodic</v>
      </c>
    </row>
    <row r="31" spans="2:7" ht="20" customHeight="1" thickBot="1" x14ac:dyDescent="0.25">
      <c r="C31" s="36"/>
      <c r="F31" s="33" t="str">
        <f>_cfg_parts!L31</f>
        <v>!         </v>
      </c>
      <c r="G31" s="34" t="str">
        <f>_cfg_parts!Q31</f>
        <v>!         </v>
      </c>
    </row>
    <row r="32" spans="2:7" ht="20" customHeight="1" thickTop="1" thickBot="1" x14ac:dyDescent="0.25">
      <c r="B32" s="88" t="s">
        <v>73</v>
      </c>
      <c r="C32" s="89" t="s">
        <v>224</v>
      </c>
      <c r="D32" s="90" t="s">
        <v>92</v>
      </c>
      <c r="F32" s="33" t="str">
        <f>_cfg_parts!L32</f>
        <v>crypto ikev2 profile sse-primary-2</v>
      </c>
      <c r="G32" s="34" t="str">
        <f>_cfg_parts!Q32</f>
        <v>crypto ikev2 profile sse-primary-2</v>
      </c>
    </row>
    <row r="33" spans="2:7" ht="20" customHeight="1" thickTop="1" thickBot="1" x14ac:dyDescent="0.25">
      <c r="C33" s="36"/>
      <c r="F33" s="33" t="str">
        <f>_cfg_parts!L33</f>
        <v> match identity remote address 3.141.141.165 255.255.255.255 </v>
      </c>
      <c r="G33" s="34" t="str">
        <f>_cfg_parts!Q33</f>
        <v> match identity remote address 3.141.141.165 255.255.255.255 </v>
      </c>
    </row>
    <row r="34" spans="2:7" ht="30" customHeight="1" thickTop="1" thickBot="1" x14ac:dyDescent="0.3">
      <c r="B34" s="91" t="s">
        <v>83</v>
      </c>
      <c r="C34" s="92"/>
      <c r="D34" s="93" t="s">
        <v>81</v>
      </c>
      <c r="F34" s="33" t="str">
        <f>_cfg_parts!L34</f>
        <v> identity local email CiscoIOSA-vHub-CentralUS+tunnel2@8363425-667481483-sse.cisco.com</v>
      </c>
      <c r="G34" s="34" t="str">
        <f>_cfg_parts!Q34</f>
        <v> identity local email CiscoIOSB-EastUS-Region+tunnel2@8363425-667398686-sse.cisco.com</v>
      </c>
    </row>
    <row r="35" spans="2:7" ht="20" customHeight="1" thickTop="1" x14ac:dyDescent="0.2">
      <c r="B35" s="97" t="s">
        <v>107</v>
      </c>
      <c r="C35" s="66" t="s">
        <v>109</v>
      </c>
      <c r="D35" s="67" t="str">
        <f>_data!E42</f>
        <v>10.7.15.64</v>
      </c>
      <c r="F35" s="33" t="str">
        <f>_cfg_parts!L35</f>
        <v> authentication remote pre-share</v>
      </c>
      <c r="G35" s="34" t="str">
        <f>_cfg_parts!Q35</f>
        <v> authentication remote pre-share</v>
      </c>
    </row>
    <row r="36" spans="2:7" ht="20" customHeight="1" x14ac:dyDescent="0.2">
      <c r="B36" s="47" t="s">
        <v>84</v>
      </c>
      <c r="C36" s="68"/>
      <c r="D36" s="69" t="str">
        <f>_data!E43</f>
        <v>10.7.15.65</v>
      </c>
      <c r="F36" s="33" t="str">
        <f>_cfg_parts!L36</f>
        <v> authentication local pre-share</v>
      </c>
      <c r="G36" s="34" t="str">
        <f>_cfg_parts!Q36</f>
        <v> authentication local pre-share</v>
      </c>
    </row>
    <row r="37" spans="2:7" ht="20" customHeight="1" x14ac:dyDescent="0.2">
      <c r="B37" s="47" t="s">
        <v>110</v>
      </c>
      <c r="C37" s="68"/>
      <c r="D37" s="69" t="str">
        <f>_data!E44</f>
        <v>10.7.15.66</v>
      </c>
      <c r="F37" s="33" t="str">
        <f>_cfg_parts!L37</f>
        <v> keyring local sse-kr</v>
      </c>
      <c r="G37" s="34" t="str">
        <f>_cfg_parts!Q37</f>
        <v> keyring local sse-kr</v>
      </c>
    </row>
    <row r="38" spans="2:7" ht="20" customHeight="1" x14ac:dyDescent="0.2">
      <c r="B38" s="47" t="s">
        <v>111</v>
      </c>
      <c r="C38" s="68"/>
      <c r="D38" s="69" t="str">
        <f>_data!E45</f>
        <v>10.7.15.67</v>
      </c>
      <c r="F38" s="33" t="str">
        <f>_cfg_parts!L38</f>
        <v> dpd 10 3 periodic</v>
      </c>
      <c r="G38" s="34" t="str">
        <f>_cfg_parts!Q38</f>
        <v> dpd 10 3 periodic</v>
      </c>
    </row>
    <row r="39" spans="2:7" ht="20" customHeight="1" x14ac:dyDescent="0.2">
      <c r="B39" s="47" t="s">
        <v>112</v>
      </c>
      <c r="C39" s="68"/>
      <c r="D39" s="69" t="str">
        <f>_data!E46</f>
        <v>10.7.15.68</v>
      </c>
      <c r="F39" s="33" t="str">
        <f>_cfg_parts!L39</f>
        <v>!         </v>
      </c>
      <c r="G39" s="34" t="str">
        <f>_cfg_parts!Q39</f>
        <v>!         </v>
      </c>
    </row>
    <row r="40" spans="2:7" ht="20" customHeight="1" x14ac:dyDescent="0.2">
      <c r="B40" s="70"/>
      <c r="C40" s="68"/>
      <c r="D40" s="69" t="str">
        <f>_data!E47</f>
        <v>10.7.15.69</v>
      </c>
      <c r="F40" s="33" t="str">
        <f>_cfg_parts!L40</f>
        <v>crypto ikev2 profile sse-secondary-1</v>
      </c>
      <c r="G40" s="34" t="str">
        <f>_cfg_parts!Q40</f>
        <v>crypto ikev2 profile sse-secondary-1</v>
      </c>
    </row>
    <row r="41" spans="2:7" ht="20" customHeight="1" x14ac:dyDescent="0.2">
      <c r="B41" s="70"/>
      <c r="C41" s="68"/>
      <c r="D41" s="69" t="str">
        <f>_data!E48</f>
        <v>10.7.15.70</v>
      </c>
      <c r="F41" s="33" t="str">
        <f>_cfg_parts!L41</f>
        <v> match identity remote address 3.140.13.195 255.255.255.255 </v>
      </c>
      <c r="G41" s="34" t="str">
        <f>_cfg_parts!Q41</f>
        <v> match identity remote address 3.140.13.195 255.255.255.255 </v>
      </c>
    </row>
    <row r="42" spans="2:7" ht="50" customHeight="1" x14ac:dyDescent="0.2">
      <c r="B42" s="70"/>
      <c r="C42" s="68"/>
      <c r="D42" s="69" t="str">
        <f>_data!E49</f>
        <v>10.7.15.71</v>
      </c>
      <c r="F42" s="33" t="str">
        <f>_cfg_parts!L42</f>
        <v> identity local email CiscoIOSA-vHub-CentralUS+tunnel1@8363425-667481484-sse.cisco.com</v>
      </c>
      <c r="G42" s="34" t="str">
        <f>_cfg_parts!Q42</f>
        <v> identity local email CiscoIOSB-EastUS-Region+tunnel1@8363425-667398687-sse.cisco.com</v>
      </c>
    </row>
    <row r="43" spans="2:7" ht="20" customHeight="1" x14ac:dyDescent="0.2">
      <c r="B43" s="70"/>
      <c r="C43" s="68"/>
      <c r="D43" s="69" t="str">
        <f>_data!E50</f>
        <v>10.7.15.72</v>
      </c>
      <c r="F43" s="33" t="str">
        <f>_cfg_parts!L43</f>
        <v> authentication remote pre-share</v>
      </c>
      <c r="G43" s="34" t="str">
        <f>_cfg_parts!Q43</f>
        <v> authentication remote pre-share</v>
      </c>
    </row>
    <row r="44" spans="2:7" ht="20" customHeight="1" x14ac:dyDescent="0.2">
      <c r="B44" s="70"/>
      <c r="C44" s="68"/>
      <c r="D44" s="69" t="str">
        <f>_data!E51</f>
        <v>10.7.15.73</v>
      </c>
      <c r="F44" s="33" t="str">
        <f>_cfg_parts!L44</f>
        <v> authentication local pre-share</v>
      </c>
      <c r="G44" s="34" t="str">
        <f>_cfg_parts!Q44</f>
        <v> authentication local pre-share</v>
      </c>
    </row>
    <row r="45" spans="2:7" ht="20" customHeight="1" x14ac:dyDescent="0.2">
      <c r="B45" s="70"/>
      <c r="C45" s="68"/>
      <c r="D45" s="69" t="str">
        <f>_data!E52</f>
        <v>10.7.15.74</v>
      </c>
      <c r="F45" s="33" t="str">
        <f>_cfg_parts!L45</f>
        <v> keyring local sse-kr</v>
      </c>
      <c r="G45" s="34" t="str">
        <f>_cfg_parts!Q45</f>
        <v> keyring local sse-kr</v>
      </c>
    </row>
    <row r="46" spans="2:7" ht="20" customHeight="1" x14ac:dyDescent="0.2">
      <c r="B46" s="70"/>
      <c r="C46" s="68"/>
      <c r="D46" s="69" t="str">
        <f>_data!E53</f>
        <v>10.7.15.75</v>
      </c>
      <c r="F46" s="33" t="str">
        <f>_cfg_parts!L46</f>
        <v> dpd 10 3 periodic</v>
      </c>
      <c r="G46" s="34" t="str">
        <f>_cfg_parts!Q46</f>
        <v> dpd 10 3 periodic</v>
      </c>
    </row>
    <row r="47" spans="2:7" ht="20" customHeight="1" x14ac:dyDescent="0.2">
      <c r="B47" s="70"/>
      <c r="C47" s="68"/>
      <c r="D47" s="69" t="str">
        <f>_data!E54</f>
        <v>10.7.15.76</v>
      </c>
      <c r="F47" s="33" t="str">
        <f>_cfg_parts!L47</f>
        <v>!         </v>
      </c>
      <c r="G47" s="34" t="str">
        <f>_cfg_parts!Q47</f>
        <v>!         </v>
      </c>
    </row>
    <row r="48" spans="2:7" ht="20" customHeight="1" x14ac:dyDescent="0.2">
      <c r="B48" s="70"/>
      <c r="C48" s="68"/>
      <c r="D48" s="69" t="str">
        <f>_data!E55</f>
        <v>10.7.15.77</v>
      </c>
      <c r="F48" s="33" t="str">
        <f>_cfg_parts!L48</f>
        <v>crypto ikev2 profile sse-secondary-2</v>
      </c>
      <c r="G48" s="34" t="str">
        <f>_cfg_parts!Q48</f>
        <v>crypto ikev2 profile sse-secondary-2</v>
      </c>
    </row>
    <row r="49" spans="2:7" ht="20" customHeight="1" x14ac:dyDescent="0.2">
      <c r="B49" s="70"/>
      <c r="C49" s="68"/>
      <c r="D49" s="69" t="str">
        <f>_data!E56</f>
        <v>10.7.15.78</v>
      </c>
      <c r="F49" s="33" t="str">
        <f>_cfg_parts!L49</f>
        <v> match identity remote address 3.140.13.195 255.255.255.255 </v>
      </c>
      <c r="G49" s="34" t="str">
        <f>_cfg_parts!Q49</f>
        <v> match identity remote address 3.140.13.195 255.255.255.255 </v>
      </c>
    </row>
    <row r="50" spans="2:7" ht="37" customHeight="1" x14ac:dyDescent="0.2">
      <c r="B50" s="70"/>
      <c r="C50" s="68"/>
      <c r="D50" s="69" t="str">
        <f>_data!E57</f>
        <v>10.7.15.79</v>
      </c>
      <c r="F50" s="33" t="str">
        <f>_cfg_parts!L50</f>
        <v> identity local email CiscoIOSA-vHub-CentralUS+tunnel2@8363425-667481484-sse.cisco.com</v>
      </c>
      <c r="G50" s="34" t="str">
        <f>_cfg_parts!Q50</f>
        <v> identity local email CiscoIOSB-EastUS-Region+tunnel2@8363425-667398687-sse.cisco.com</v>
      </c>
    </row>
    <row r="51" spans="2:7" ht="20" customHeight="1" x14ac:dyDescent="0.2">
      <c r="B51" s="70"/>
      <c r="C51" s="68"/>
      <c r="D51" s="69" t="str">
        <f>_data!E58</f>
        <v>10.7.15.80</v>
      </c>
      <c r="F51" s="33" t="str">
        <f>_cfg_parts!L51</f>
        <v> authentication remote pre-share</v>
      </c>
      <c r="G51" s="34" t="str">
        <f>_cfg_parts!Q51</f>
        <v> authentication remote pre-share</v>
      </c>
    </row>
    <row r="52" spans="2:7" ht="20" customHeight="1" x14ac:dyDescent="0.2">
      <c r="B52" s="70"/>
      <c r="C52" s="68"/>
      <c r="D52" s="69" t="str">
        <f>_data!E59</f>
        <v>10.7.15.81</v>
      </c>
      <c r="F52" s="33" t="str">
        <f>_cfg_parts!L52</f>
        <v> authentication local pre-share</v>
      </c>
      <c r="G52" s="34" t="str">
        <f>_cfg_parts!Q52</f>
        <v> authentication local pre-share</v>
      </c>
    </row>
    <row r="53" spans="2:7" ht="20" customHeight="1" x14ac:dyDescent="0.2">
      <c r="B53" s="70"/>
      <c r="C53" s="68"/>
      <c r="D53" s="69" t="str">
        <f>_data!E60</f>
        <v>10.7.15.82</v>
      </c>
      <c r="F53" s="33" t="str">
        <f>_cfg_parts!L53</f>
        <v> keyring local sse-kr</v>
      </c>
      <c r="G53" s="34" t="str">
        <f>_cfg_parts!Q53</f>
        <v> keyring local sse-kr</v>
      </c>
    </row>
    <row r="54" spans="2:7" ht="20" customHeight="1" thickBot="1" x14ac:dyDescent="0.25">
      <c r="B54" s="71"/>
      <c r="C54" s="72"/>
      <c r="D54" s="73" t="str">
        <f>_data!E61</f>
        <v>10.7.15.83</v>
      </c>
      <c r="F54" s="33" t="str">
        <f>_cfg_parts!L54</f>
        <v> dpd 10 3 periodic</v>
      </c>
      <c r="G54" s="34" t="str">
        <f>_cfg_parts!Q54</f>
        <v> dpd 10 3 periodic</v>
      </c>
    </row>
    <row r="55" spans="2:7" ht="20" customHeight="1" thickTop="1" thickBot="1" x14ac:dyDescent="0.3">
      <c r="B55" s="2"/>
      <c r="C55" s="23"/>
      <c r="D55" s="22"/>
      <c r="F55" s="33">
        <f>_cfg_parts!L55</f>
        <v>0</v>
      </c>
      <c r="G55" s="34">
        <f>_cfg_parts!Q55</f>
        <v>0</v>
      </c>
    </row>
    <row r="56" spans="2:7" ht="20" customHeight="1" thickTop="1" x14ac:dyDescent="0.2">
      <c r="B56" s="96" t="s">
        <v>108</v>
      </c>
      <c r="C56" s="74" t="s">
        <v>93</v>
      </c>
      <c r="D56" s="75" t="str">
        <f>_data!E19</f>
        <v>10.7.15.32</v>
      </c>
      <c r="F56" s="33" t="str">
        <f>_cfg_parts!L56</f>
        <v>!</v>
      </c>
      <c r="G56" s="34" t="str">
        <f>_cfg_parts!Q56</f>
        <v>!</v>
      </c>
    </row>
    <row r="57" spans="2:7" ht="20" customHeight="1" x14ac:dyDescent="0.2">
      <c r="B57" s="55" t="s">
        <v>84</v>
      </c>
      <c r="C57" s="76"/>
      <c r="D57" s="56" t="str">
        <f>_data!E20</f>
        <v>10.7.15.33</v>
      </c>
      <c r="F57" s="33" t="str">
        <f>_cfg_parts!L57</f>
        <v xml:space="preserve">crypto ipsec transform-set sse-ts esp-gcm 256 </v>
      </c>
      <c r="G57" s="34" t="str">
        <f>_cfg_parts!Q57</f>
        <v xml:space="preserve">crypto ipsec transform-set sse-ts esp-gcm 256 </v>
      </c>
    </row>
    <row r="58" spans="2:7" ht="20" customHeight="1" x14ac:dyDescent="0.2">
      <c r="B58" s="55" t="s">
        <v>110</v>
      </c>
      <c r="C58" s="76"/>
      <c r="D58" s="56" t="str">
        <f>_data!E21</f>
        <v>10.7.15.34</v>
      </c>
      <c r="F58" s="33" t="str">
        <f>_cfg_parts!L58</f>
        <v xml:space="preserve"> mode tunnel</v>
      </c>
      <c r="G58" s="34" t="str">
        <f>_cfg_parts!Q58</f>
        <v xml:space="preserve"> mode tunnel</v>
      </c>
    </row>
    <row r="59" spans="2:7" ht="20" customHeight="1" x14ac:dyDescent="0.2">
      <c r="B59" s="55" t="s">
        <v>111</v>
      </c>
      <c r="C59" s="76"/>
      <c r="D59" s="56" t="str">
        <f>_data!E22</f>
        <v>10.7.15.35</v>
      </c>
      <c r="F59" s="33" t="str">
        <f>_cfg_parts!L59</f>
        <v>!</v>
      </c>
      <c r="G59" s="34" t="str">
        <f>_cfg_parts!Q59</f>
        <v>!</v>
      </c>
    </row>
    <row r="60" spans="2:7" ht="20" customHeight="1" x14ac:dyDescent="0.2">
      <c r="B60" s="55" t="s">
        <v>112</v>
      </c>
      <c r="C60" s="76"/>
      <c r="D60" s="56" t="str">
        <f>_data!E23</f>
        <v>10.7.15.36</v>
      </c>
      <c r="F60" s="33">
        <f>_cfg_parts!L60</f>
        <v>0</v>
      </c>
      <c r="G60" s="34">
        <f>_cfg_parts!Q60</f>
        <v>0</v>
      </c>
    </row>
    <row r="61" spans="2:7" ht="20" customHeight="1" x14ac:dyDescent="0.2">
      <c r="B61" s="77"/>
      <c r="C61" s="76"/>
      <c r="D61" s="56" t="str">
        <f>_data!E24</f>
        <v>10.7.15.37</v>
      </c>
      <c r="F61" s="33" t="str">
        <f>_cfg_parts!L61</f>
        <v>crypto ipsec profile sse-ipsec-primary-1</v>
      </c>
      <c r="G61" s="34" t="str">
        <f>_cfg_parts!Q61</f>
        <v>crypto ipsec profile sse-ipsec-primary-1</v>
      </c>
    </row>
    <row r="62" spans="2:7" ht="20" customHeight="1" x14ac:dyDescent="0.2">
      <c r="B62" s="70"/>
      <c r="C62" s="76"/>
      <c r="D62" s="56" t="str">
        <f>_data!E25</f>
        <v>10.7.15.38</v>
      </c>
      <c r="F62" s="33" t="str">
        <f>_cfg_parts!L62</f>
        <v xml:space="preserve"> set transform-set sse-ts </v>
      </c>
      <c r="G62" s="34" t="str">
        <f>_cfg_parts!Q62</f>
        <v xml:space="preserve"> set transform-set sse-ts </v>
      </c>
    </row>
    <row r="63" spans="2:7" ht="20" customHeight="1" x14ac:dyDescent="0.2">
      <c r="B63" s="70"/>
      <c r="C63" s="76"/>
      <c r="D63" s="56" t="str">
        <f>_data!E26</f>
        <v>10.7.15.39</v>
      </c>
      <c r="F63" s="33" t="str">
        <f>_cfg_parts!L63</f>
        <v xml:space="preserve"> set ikev2-profile sse-primary-1</v>
      </c>
      <c r="G63" s="34" t="str">
        <f>_cfg_parts!Q63</f>
        <v xml:space="preserve"> set ikev2-profile sse-primary-1</v>
      </c>
    </row>
    <row r="64" spans="2:7" ht="20" customHeight="1" x14ac:dyDescent="0.2">
      <c r="B64" s="70"/>
      <c r="C64" s="76"/>
      <c r="D64" s="56" t="str">
        <f>_data!E27</f>
        <v>10.7.15.40</v>
      </c>
      <c r="F64" s="33" t="str">
        <f>_cfg_parts!L64</f>
        <v>!</v>
      </c>
      <c r="G64" s="34" t="str">
        <f>_cfg_parts!Q64</f>
        <v>!</v>
      </c>
    </row>
    <row r="65" spans="2:7" ht="20" customHeight="1" x14ac:dyDescent="0.2">
      <c r="B65" s="70"/>
      <c r="C65" s="76"/>
      <c r="D65" s="56" t="str">
        <f>_data!E28</f>
        <v>10.7.15.41</v>
      </c>
      <c r="F65" s="33" t="str">
        <f>_cfg_parts!L65</f>
        <v>crypto ipsec profile sse-ipsec-primary-2</v>
      </c>
      <c r="G65" s="34" t="str">
        <f>_cfg_parts!Q65</f>
        <v>crypto ipsec profile sse-ipsec-primary-2</v>
      </c>
    </row>
    <row r="66" spans="2:7" ht="20" customHeight="1" x14ac:dyDescent="0.2">
      <c r="B66" s="70"/>
      <c r="C66" s="76"/>
      <c r="D66" s="56" t="str">
        <f>_data!E29</f>
        <v>10.7.15.42</v>
      </c>
      <c r="F66" s="33" t="str">
        <f>_cfg_parts!L66</f>
        <v xml:space="preserve"> set transform-set sse-ts </v>
      </c>
      <c r="G66" s="34" t="str">
        <f>_cfg_parts!Q66</f>
        <v xml:space="preserve"> set transform-set sse-ts </v>
      </c>
    </row>
    <row r="67" spans="2:7" ht="20" customHeight="1" x14ac:dyDescent="0.2">
      <c r="B67" s="70"/>
      <c r="C67" s="76"/>
      <c r="D67" s="56" t="str">
        <f>_data!E30</f>
        <v>10.7.15.43</v>
      </c>
      <c r="F67" s="33" t="str">
        <f>_cfg_parts!L67</f>
        <v xml:space="preserve"> set ikev2-profile sse-primary-2</v>
      </c>
      <c r="G67" s="34" t="str">
        <f>_cfg_parts!Q67</f>
        <v xml:space="preserve"> set ikev2-profile sse-primary-2</v>
      </c>
    </row>
    <row r="68" spans="2:7" ht="20" customHeight="1" x14ac:dyDescent="0.2">
      <c r="B68" s="70"/>
      <c r="C68" s="76"/>
      <c r="D68" s="56" t="str">
        <f>_data!E31</f>
        <v>10.7.15.44</v>
      </c>
      <c r="F68" s="33" t="str">
        <f>_cfg_parts!L68</f>
        <v>!</v>
      </c>
      <c r="G68" s="34" t="str">
        <f>_cfg_parts!Q68</f>
        <v>!</v>
      </c>
    </row>
    <row r="69" spans="2:7" ht="20" customHeight="1" x14ac:dyDescent="0.2">
      <c r="B69" s="70"/>
      <c r="C69" s="76"/>
      <c r="D69" s="56" t="str">
        <f>_data!E32</f>
        <v>10.7.15.45</v>
      </c>
      <c r="F69" s="33" t="str">
        <f>_cfg_parts!L69</f>
        <v>crypto ipsec profile sse-ipsec-secondary-1</v>
      </c>
      <c r="G69" s="34" t="str">
        <f>_cfg_parts!Q69</f>
        <v>crypto ipsec profile sse-ipsec-secondary-1</v>
      </c>
    </row>
    <row r="70" spans="2:7" ht="20" customHeight="1" x14ac:dyDescent="0.2">
      <c r="B70" s="70"/>
      <c r="C70" s="76"/>
      <c r="D70" s="56" t="str">
        <f>_data!E33</f>
        <v>10.7.15.46</v>
      </c>
      <c r="F70" s="33" t="str">
        <f>_cfg_parts!L70</f>
        <v xml:space="preserve"> set transform-set sse-ts </v>
      </c>
      <c r="G70" s="34" t="str">
        <f>_cfg_parts!Q70</f>
        <v xml:space="preserve"> set transform-set sse-ts </v>
      </c>
    </row>
    <row r="71" spans="2:7" ht="20" customHeight="1" x14ac:dyDescent="0.2">
      <c r="B71" s="70"/>
      <c r="C71" s="76"/>
      <c r="D71" s="56" t="str">
        <f>_data!E34</f>
        <v>10.7.15.47</v>
      </c>
      <c r="F71" s="33" t="str">
        <f>_cfg_parts!L71</f>
        <v xml:space="preserve"> set ikev2-profile sse-secondary-1</v>
      </c>
      <c r="G71" s="34" t="str">
        <f>_cfg_parts!Q71</f>
        <v xml:space="preserve"> set ikev2-profile sse-secondary-1</v>
      </c>
    </row>
    <row r="72" spans="2:7" ht="20" customHeight="1" x14ac:dyDescent="0.2">
      <c r="B72" s="70"/>
      <c r="C72" s="76"/>
      <c r="D72" s="56" t="str">
        <f>_data!E35</f>
        <v>10.7.15.48</v>
      </c>
      <c r="F72" s="33" t="str">
        <f>_cfg_parts!L72</f>
        <v>!</v>
      </c>
      <c r="G72" s="34" t="str">
        <f>_cfg_parts!Q72</f>
        <v>!</v>
      </c>
    </row>
    <row r="73" spans="2:7" ht="20" customHeight="1" x14ac:dyDescent="0.2">
      <c r="B73" s="70"/>
      <c r="C73" s="76"/>
      <c r="D73" s="56" t="str">
        <f>_data!E36</f>
        <v>10.7.15.49</v>
      </c>
      <c r="F73" s="33" t="str">
        <f>_cfg_parts!L73</f>
        <v>crypto ipsec profile sse-ipsec-secondary-2</v>
      </c>
      <c r="G73" s="34" t="str">
        <f>_cfg_parts!Q73</f>
        <v>crypto ipsec profile sse-ipsec-secondary-2</v>
      </c>
    </row>
    <row r="74" spans="2:7" ht="20" customHeight="1" x14ac:dyDescent="0.2">
      <c r="B74" s="70"/>
      <c r="C74" s="76"/>
      <c r="D74" s="56" t="str">
        <f>_data!E37</f>
        <v>10.7.15.50</v>
      </c>
      <c r="F74" s="33" t="str">
        <f>_cfg_parts!L74</f>
        <v xml:space="preserve"> set transform-set sse-ts </v>
      </c>
      <c r="G74" s="34" t="str">
        <f>_cfg_parts!Q74</f>
        <v xml:space="preserve"> set transform-set sse-ts </v>
      </c>
    </row>
    <row r="75" spans="2:7" ht="20" customHeight="1" x14ac:dyDescent="0.2">
      <c r="B75" s="70"/>
      <c r="C75" s="76"/>
      <c r="D75" s="56" t="str">
        <f>_data!E38</f>
        <v>10.7.15.51</v>
      </c>
      <c r="F75" s="33" t="str">
        <f>_cfg_parts!L75</f>
        <v xml:space="preserve"> set ikev2-profile sse-secondary-2</v>
      </c>
      <c r="G75" s="34" t="str">
        <f>_cfg_parts!Q75</f>
        <v xml:space="preserve"> set ikev2-profile sse-secondary-2</v>
      </c>
    </row>
    <row r="76" spans="2:7" ht="20" customHeight="1" thickBot="1" x14ac:dyDescent="0.25">
      <c r="B76" s="71"/>
      <c r="C76" s="78"/>
      <c r="D76" s="65" t="str">
        <f>_data!E39</f>
        <v>10.7.15.52</v>
      </c>
      <c r="F76" s="33" t="str">
        <f>_cfg_parts!L76</f>
        <v>!</v>
      </c>
      <c r="G76" s="34" t="str">
        <f>_cfg_parts!Q76</f>
        <v>!</v>
      </c>
    </row>
    <row r="77" spans="2:7" ht="18" thickTop="1" thickBot="1" x14ac:dyDescent="0.25">
      <c r="C77" s="37"/>
      <c r="D77" s="25"/>
      <c r="F77" s="33" t="str">
        <f>_cfg_parts!L77</f>
        <v>!</v>
      </c>
      <c r="G77" s="34"/>
    </row>
    <row r="78" spans="2:7" ht="20" thickTop="1" x14ac:dyDescent="0.25">
      <c r="B78" s="99" t="s">
        <v>241</v>
      </c>
      <c r="C78" s="100"/>
      <c r="D78" s="101"/>
      <c r="F78" s="33" t="str">
        <f>_cfg_parts!L78</f>
        <v>!</v>
      </c>
      <c r="G78" s="34"/>
    </row>
    <row r="79" spans="2:7" ht="80" x14ac:dyDescent="0.2">
      <c r="B79" s="95" t="s">
        <v>242</v>
      </c>
      <c r="C79" s="27" t="s">
        <v>77</v>
      </c>
      <c r="D79" s="79" t="s">
        <v>244</v>
      </c>
      <c r="F79" s="33" t="str">
        <f>_cfg_parts!L79</f>
        <v>!</v>
      </c>
      <c r="G79" s="34"/>
    </row>
    <row r="80" spans="2:7" ht="48" x14ac:dyDescent="0.2">
      <c r="B80" s="95" t="s">
        <v>243</v>
      </c>
      <c r="C80" s="27" t="s">
        <v>77</v>
      </c>
      <c r="D80" s="79" t="s">
        <v>245</v>
      </c>
      <c r="F80" s="33" t="str">
        <f>_cfg_parts!L80</f>
        <v>!</v>
      </c>
      <c r="G80" s="34"/>
    </row>
    <row r="81" spans="2:7" ht="16" x14ac:dyDescent="0.2">
      <c r="B81" s="70"/>
      <c r="C81" s="80"/>
      <c r="D81" s="81"/>
      <c r="F81" s="33">
        <f>_cfg_parts!L81</f>
        <v>0</v>
      </c>
      <c r="G81" s="34"/>
    </row>
    <row r="82" spans="2:7" ht="17" thickBot="1" x14ac:dyDescent="0.25">
      <c r="B82" s="71"/>
      <c r="C82" s="82"/>
      <c r="D82" s="83"/>
      <c r="F82" s="33">
        <f>_cfg_parts!L82</f>
        <v>0</v>
      </c>
      <c r="G82" s="34"/>
    </row>
    <row r="83" spans="2:7" ht="17" thickTop="1" x14ac:dyDescent="0.2">
      <c r="F83" s="33">
        <f>_cfg_parts!L83</f>
        <v>0</v>
      </c>
      <c r="G83" s="34"/>
    </row>
    <row r="84" spans="2:7" ht="16" x14ac:dyDescent="0.2">
      <c r="F84" s="33">
        <f>_cfg_parts!L84</f>
        <v>0</v>
      </c>
      <c r="G84" s="34"/>
    </row>
    <row r="85" spans="2:7" ht="27" customHeight="1" x14ac:dyDescent="0.2">
      <c r="F85" s="33">
        <f>_cfg_parts!L85</f>
        <v>0</v>
      </c>
      <c r="G85" s="34"/>
    </row>
    <row r="86" spans="2:7" ht="25" customHeight="1" x14ac:dyDescent="0.2">
      <c r="F86" s="33">
        <f>_cfg_parts!L86</f>
        <v>0</v>
      </c>
      <c r="G86" s="34"/>
    </row>
    <row r="87" spans="2:7" ht="25" customHeight="1" x14ac:dyDescent="0.2">
      <c r="F87" s="33">
        <f>_cfg_parts!L87</f>
        <v>0</v>
      </c>
      <c r="G87" s="34" t="str">
        <f>_cfg_parts!Q87</f>
        <v/>
      </c>
    </row>
    <row r="88" spans="2:7" ht="25" customHeight="1" x14ac:dyDescent="0.2">
      <c r="F88" s="33" t="str">
        <f>_cfg_parts!L88</f>
        <v>interface Loopback1</v>
      </c>
      <c r="G88" s="34" t="str">
        <f>_cfg_parts!Q88</f>
        <v>interface Loopback1</v>
      </c>
    </row>
    <row r="89" spans="2:7" ht="25" customHeight="1" x14ac:dyDescent="0.2">
      <c r="F89" s="33" t="str">
        <f>_cfg_parts!L89</f>
        <v> description source for interface tunnel 1</v>
      </c>
      <c r="G89" s="34" t="str">
        <f>_cfg_parts!Q89</f>
        <v> description source for interface tunnel 1</v>
      </c>
    </row>
    <row r="90" spans="2:7" ht="25" customHeight="1" x14ac:dyDescent="0.2">
      <c r="F90" s="33" t="str">
        <f>_cfg_parts!L90</f>
        <v> ip address 100.64.255.1 255.255.255.255</v>
      </c>
      <c r="G90" s="34" t="str">
        <f>_cfg_parts!Q90</f>
        <v> ip address 100.64.255.1 255.255.255.255</v>
      </c>
    </row>
    <row r="91" spans="2:7" ht="25" customHeight="1" x14ac:dyDescent="0.2">
      <c r="F91" s="33" t="str">
        <f>_cfg_parts!L91</f>
        <v> ip nat inside</v>
      </c>
      <c r="G91" s="34" t="str">
        <f>_cfg_parts!Q91</f>
        <v> ip nat inside</v>
      </c>
    </row>
    <row r="92" spans="2:7" ht="25" customHeight="1" x14ac:dyDescent="0.2">
      <c r="F92" s="33" t="str">
        <f>_cfg_parts!L92</f>
        <v>!         </v>
      </c>
      <c r="G92" s="34" t="str">
        <f>_cfg_parts!Q92</f>
        <v>!         </v>
      </c>
    </row>
    <row r="93" spans="2:7" ht="25" customHeight="1" x14ac:dyDescent="0.2">
      <c r="F93" s="33" t="str">
        <f>_cfg_parts!L93</f>
        <v>interface Loopback2</v>
      </c>
      <c r="G93" s="34" t="str">
        <f>_cfg_parts!Q93</f>
        <v>interface Loopback2</v>
      </c>
    </row>
    <row r="94" spans="2:7" ht="25" customHeight="1" x14ac:dyDescent="0.2">
      <c r="F94" s="33" t="str">
        <f>_cfg_parts!L94</f>
        <v> description source for interface tunnel 2</v>
      </c>
      <c r="G94" s="34" t="str">
        <f>_cfg_parts!Q94</f>
        <v> description source for interface tunnel 2</v>
      </c>
    </row>
    <row r="95" spans="2:7" ht="25" customHeight="1" x14ac:dyDescent="0.2">
      <c r="F95" s="33" t="str">
        <f>_cfg_parts!L95</f>
        <v> ip address 100.64.255.2 255.255.255.255</v>
      </c>
      <c r="G95" s="34" t="str">
        <f>_cfg_parts!Q95</f>
        <v> ip address 100.64.255.2 255.255.255.255</v>
      </c>
    </row>
    <row r="96" spans="2:7" ht="25" customHeight="1" x14ac:dyDescent="0.2">
      <c r="F96" s="33" t="str">
        <f>_cfg_parts!L96</f>
        <v> ip nat inside</v>
      </c>
      <c r="G96" s="34" t="str">
        <f>_cfg_parts!Q96</f>
        <v> ip nat inside</v>
      </c>
    </row>
    <row r="97" spans="6:7" ht="25" customHeight="1" x14ac:dyDescent="0.2">
      <c r="F97" s="33" t="str">
        <f>_cfg_parts!L97</f>
        <v>!         </v>
      </c>
      <c r="G97" s="34" t="str">
        <f>_cfg_parts!Q97</f>
        <v>!         </v>
      </c>
    </row>
    <row r="98" spans="6:7" ht="25" customHeight="1" x14ac:dyDescent="0.2">
      <c r="F98" s="33" t="str">
        <f>_cfg_parts!L98</f>
        <v>interface Loopback11</v>
      </c>
      <c r="G98" s="34" t="str">
        <f>_cfg_parts!Q98</f>
        <v>interface Loopback11</v>
      </c>
    </row>
    <row r="99" spans="6:7" ht="25" customHeight="1" x14ac:dyDescent="0.2">
      <c r="F99" s="33" t="str">
        <f>_cfg_parts!L99</f>
        <v> description source for interface tunnel 11</v>
      </c>
      <c r="G99" s="34" t="str">
        <f>_cfg_parts!Q99</f>
        <v> description source for interface tunnel 11</v>
      </c>
    </row>
    <row r="100" spans="6:7" ht="25" customHeight="1" x14ac:dyDescent="0.2">
      <c r="F100" s="33" t="str">
        <f>_cfg_parts!L100</f>
        <v> ip address 100.64.255.11 255.255.255.255</v>
      </c>
      <c r="G100" s="34" t="str">
        <f>_cfg_parts!Q100</f>
        <v> ip address 100.64.255.11 255.255.255.255</v>
      </c>
    </row>
    <row r="101" spans="6:7" ht="25" customHeight="1" x14ac:dyDescent="0.2">
      <c r="F101" s="33" t="str">
        <f>_cfg_parts!L101</f>
        <v> ip nat inside</v>
      </c>
      <c r="G101" s="34" t="str">
        <f>_cfg_parts!Q101</f>
        <v> ip nat inside</v>
      </c>
    </row>
    <row r="102" spans="6:7" ht="25" customHeight="1" x14ac:dyDescent="0.2">
      <c r="F102" s="33" t="str">
        <f>_cfg_parts!L102</f>
        <v>!         </v>
      </c>
      <c r="G102" s="34" t="str">
        <f>_cfg_parts!Q102</f>
        <v>!         </v>
      </c>
    </row>
    <row r="103" spans="6:7" ht="25" customHeight="1" x14ac:dyDescent="0.2">
      <c r="F103" s="33" t="str">
        <f>_cfg_parts!L103</f>
        <v>interface Loopback12</v>
      </c>
      <c r="G103" s="34" t="str">
        <f>_cfg_parts!Q103</f>
        <v>interface Loopback12</v>
      </c>
    </row>
    <row r="104" spans="6:7" ht="25" customHeight="1" x14ac:dyDescent="0.2">
      <c r="F104" s="33" t="str">
        <f>_cfg_parts!L104</f>
        <v> description source for interface tunnel 12</v>
      </c>
      <c r="G104" s="34" t="str">
        <f>_cfg_parts!Q104</f>
        <v> description source for interface tunnel 12</v>
      </c>
    </row>
    <row r="105" spans="6:7" ht="25" customHeight="1" x14ac:dyDescent="0.2">
      <c r="F105" s="33" t="str">
        <f>_cfg_parts!L105</f>
        <v> ip address 100.64.255.12 255.255.255.255</v>
      </c>
      <c r="G105" s="34" t="str">
        <f>_cfg_parts!Q105</f>
        <v> ip address 100.64.255.12 255.255.255.255</v>
      </c>
    </row>
    <row r="106" spans="6:7" ht="25" customHeight="1" x14ac:dyDescent="0.2">
      <c r="F106" s="33" t="str">
        <f>_cfg_parts!L106</f>
        <v> ip nat inside</v>
      </c>
      <c r="G106" s="34" t="str">
        <f>_cfg_parts!Q106</f>
        <v> ip nat inside</v>
      </c>
    </row>
    <row r="107" spans="6:7" ht="25" customHeight="1" x14ac:dyDescent="0.2">
      <c r="F107" s="33" t="str">
        <f>_cfg_parts!L107</f>
        <v>!   </v>
      </c>
      <c r="G107" s="34" t="str">
        <f>_cfg_parts!Q107</f>
        <v>!   </v>
      </c>
    </row>
    <row r="108" spans="6:7" ht="25" customHeight="1" x14ac:dyDescent="0.2">
      <c r="F108" s="33" t="str">
        <f>_cfg_parts!L108</f>
        <v>interface Tunnel1</v>
      </c>
      <c r="G108" s="34" t="str">
        <f>_cfg_parts!Q108</f>
        <v>interface Tunnel1</v>
      </c>
    </row>
    <row r="109" spans="6:7" ht="25" customHeight="1" x14ac:dyDescent="0.2">
      <c r="F109" s="33" t="str">
        <f>_cfg_parts!L109</f>
        <v> ip address 10.7.15.64 255.255.255.255</v>
      </c>
      <c r="G109" s="34" t="str">
        <f>_cfg_parts!Q109</f>
        <v> ip address 10.7.15.32 255.255.255.255</v>
      </c>
    </row>
    <row r="110" spans="6:7" ht="25" customHeight="1" x14ac:dyDescent="0.2">
      <c r="F110" s="33" t="str">
        <f>_cfg_parts!L110</f>
        <v> ip tcp adjust-mss 1350</v>
      </c>
      <c r="G110" s="34" t="str">
        <f>_cfg_parts!Q110</f>
        <v> ip tcp adjust-mss 1350</v>
      </c>
    </row>
    <row r="111" spans="6:7" ht="25" customHeight="1" x14ac:dyDescent="0.2">
      <c r="F111" s="33" t="str">
        <f>_cfg_parts!L111</f>
        <v> tunnel source Loopback1</v>
      </c>
      <c r="G111" s="34" t="str">
        <f>_cfg_parts!Q111</f>
        <v> tunnel source Loopback1</v>
      </c>
    </row>
    <row r="112" spans="6:7" ht="25" customHeight="1" x14ac:dyDescent="0.2">
      <c r="F112" s="33" t="str">
        <f>_cfg_parts!L112</f>
        <v> tunnel mode ipsec ipv4</v>
      </c>
      <c r="G112" s="34" t="str">
        <f>_cfg_parts!Q112</f>
        <v> tunnel mode ipsec ipv4</v>
      </c>
    </row>
    <row r="113" spans="6:7" ht="25" customHeight="1" x14ac:dyDescent="0.2">
      <c r="F113" s="33" t="str">
        <f>_cfg_parts!L113</f>
        <v> tunnel destination 3.141.141.165</v>
      </c>
      <c r="G113" s="34" t="str">
        <f>_cfg_parts!Q113</f>
        <v> tunnel destination 3.141.141.165</v>
      </c>
    </row>
    <row r="114" spans="6:7" ht="25" customHeight="1" x14ac:dyDescent="0.2">
      <c r="F114" s="33" t="str">
        <f>_cfg_parts!L114</f>
        <v> tunnel protection ipsec profile sse-ipsec-primary-1</v>
      </c>
      <c r="G114" s="34" t="str">
        <f>_cfg_parts!Q114</f>
        <v> tunnel protection ipsec profile sse-ipsec-primary-1</v>
      </c>
    </row>
    <row r="115" spans="6:7" ht="25" customHeight="1" x14ac:dyDescent="0.2">
      <c r="F115" s="33" t="str">
        <f>_cfg_parts!L115</f>
        <v>!         </v>
      </c>
      <c r="G115" s="34" t="str">
        <f>_cfg_parts!Q115</f>
        <v>!         </v>
      </c>
    </row>
    <row r="116" spans="6:7" ht="25" customHeight="1" x14ac:dyDescent="0.2">
      <c r="F116" s="33" t="str">
        <f>_cfg_parts!L116</f>
        <v>interface Tunnel2</v>
      </c>
      <c r="G116" s="34" t="str">
        <f>_cfg_parts!Q116</f>
        <v>interface Tunnel2</v>
      </c>
    </row>
    <row r="117" spans="6:7" ht="25" customHeight="1" x14ac:dyDescent="0.2">
      <c r="F117" s="33" t="str">
        <f>_cfg_parts!L117</f>
        <v> ip address 10.7.15.65 255.255.255.255</v>
      </c>
      <c r="G117" s="34" t="str">
        <f>_cfg_parts!Q117</f>
        <v> ip address 10.7.15.33 255.255.255.255</v>
      </c>
    </row>
    <row r="118" spans="6:7" ht="25" customHeight="1" x14ac:dyDescent="0.2">
      <c r="F118" s="33" t="str">
        <f>_cfg_parts!L118</f>
        <v> ip tcp adjust-mss 1350</v>
      </c>
      <c r="G118" s="34" t="str">
        <f>_cfg_parts!Q118</f>
        <v> ip tcp adjust-mss 1350</v>
      </c>
    </row>
    <row r="119" spans="6:7" ht="25" customHeight="1" x14ac:dyDescent="0.2">
      <c r="F119" s="33" t="str">
        <f>_cfg_parts!L119</f>
        <v> tunnel source Loopback2</v>
      </c>
      <c r="G119" s="34" t="str">
        <f>_cfg_parts!Q119</f>
        <v> tunnel source Loopback2</v>
      </c>
    </row>
    <row r="120" spans="6:7" ht="25" customHeight="1" x14ac:dyDescent="0.2">
      <c r="F120" s="33" t="str">
        <f>_cfg_parts!L120</f>
        <v> tunnel mode ipsec ipv4</v>
      </c>
      <c r="G120" s="34" t="str">
        <f>_cfg_parts!Q120</f>
        <v> tunnel mode ipsec ipv4</v>
      </c>
    </row>
    <row r="121" spans="6:7" ht="25" customHeight="1" x14ac:dyDescent="0.2">
      <c r="F121" s="33" t="str">
        <f>_cfg_parts!L121</f>
        <v> tunnel destination 3.141.141.165</v>
      </c>
      <c r="G121" s="34" t="str">
        <f>_cfg_parts!Q121</f>
        <v> tunnel destination 3.141.141.165</v>
      </c>
    </row>
    <row r="122" spans="6:7" ht="25" customHeight="1" x14ac:dyDescent="0.2">
      <c r="F122" s="33" t="str">
        <f>_cfg_parts!L122</f>
        <v> tunnel protection ipsec profile sse-ipsec-primary-2</v>
      </c>
      <c r="G122" s="34" t="str">
        <f>_cfg_parts!Q122</f>
        <v> tunnel protection ipsec profile sse-ipsec-primary-2</v>
      </c>
    </row>
    <row r="123" spans="6:7" ht="25" customHeight="1" x14ac:dyDescent="0.2">
      <c r="F123" s="33" t="str">
        <f>_cfg_parts!L123</f>
        <v>!         </v>
      </c>
      <c r="G123" s="34" t="str">
        <f>_cfg_parts!Q123</f>
        <v>!         </v>
      </c>
    </row>
    <row r="124" spans="6:7" ht="25" customHeight="1" x14ac:dyDescent="0.2">
      <c r="F124" s="33" t="str">
        <f>_cfg_parts!L124</f>
        <v>interface Tunnel11</v>
      </c>
      <c r="G124" s="34" t="str">
        <f>_cfg_parts!Q124</f>
        <v>interface Tunnel11</v>
      </c>
    </row>
    <row r="125" spans="6:7" ht="25" customHeight="1" x14ac:dyDescent="0.2">
      <c r="F125" s="33" t="str">
        <f>_cfg_parts!L125</f>
        <v> ip address 10.7.15.74 255.255.255.255</v>
      </c>
      <c r="G125" s="34" t="str">
        <f>_cfg_parts!Q125</f>
        <v> ip address 10.7.15.42 255.255.255.255</v>
      </c>
    </row>
    <row r="126" spans="6:7" ht="25" customHeight="1" x14ac:dyDescent="0.2">
      <c r="F126" s="33" t="str">
        <f>_cfg_parts!L126</f>
        <v> ip tcp adjust-mss 1350</v>
      </c>
      <c r="G126" s="34" t="str">
        <f>_cfg_parts!Q126</f>
        <v> ip tcp adjust-mss 1350</v>
      </c>
    </row>
    <row r="127" spans="6:7" ht="25" customHeight="1" x14ac:dyDescent="0.2">
      <c r="F127" s="33" t="str">
        <f>_cfg_parts!L127</f>
        <v> tunnel source Loopback11</v>
      </c>
      <c r="G127" s="34" t="str">
        <f>_cfg_parts!Q127</f>
        <v> tunnel source Loopback11</v>
      </c>
    </row>
    <row r="128" spans="6:7" ht="25" customHeight="1" x14ac:dyDescent="0.2">
      <c r="F128" s="33" t="str">
        <f>_cfg_parts!L128</f>
        <v> tunnel mode ipsec ipv4</v>
      </c>
      <c r="G128" s="34" t="str">
        <f>_cfg_parts!Q128</f>
        <v> tunnel mode ipsec ipv4</v>
      </c>
    </row>
    <row r="129" spans="6:7" ht="25" customHeight="1" x14ac:dyDescent="0.2">
      <c r="F129" s="33" t="str">
        <f>_cfg_parts!L129</f>
        <v> tunnel destination 3.140.13.195</v>
      </c>
      <c r="G129" s="34" t="str">
        <f>_cfg_parts!Q129</f>
        <v> tunnel destination 3.140.13.195</v>
      </c>
    </row>
    <row r="130" spans="6:7" ht="25" customHeight="1" x14ac:dyDescent="0.2">
      <c r="F130" s="33" t="str">
        <f>_cfg_parts!L130</f>
        <v> tunnel protection ipsec profile sse-ipsec-secondary-1</v>
      </c>
      <c r="G130" s="34" t="str">
        <f>_cfg_parts!Q130</f>
        <v> tunnel protection ipsec profile sse-ipsec-secondary-1</v>
      </c>
    </row>
    <row r="131" spans="6:7" ht="16" x14ac:dyDescent="0.2">
      <c r="F131" s="33" t="str">
        <f>_cfg_parts!L131</f>
        <v>!</v>
      </c>
      <c r="G131" s="34" t="str">
        <f>_cfg_parts!Q131</f>
        <v>!</v>
      </c>
    </row>
    <row r="132" spans="6:7" ht="16" x14ac:dyDescent="0.2">
      <c r="F132" s="33" t="str">
        <f>_cfg_parts!L132</f>
        <v>interface Tunnel12</v>
      </c>
      <c r="G132" s="34" t="str">
        <f>_cfg_parts!Q132</f>
        <v>interface Tunnel12</v>
      </c>
    </row>
    <row r="133" spans="6:7" ht="16" x14ac:dyDescent="0.2">
      <c r="F133" s="33" t="str">
        <f>_cfg_parts!L133</f>
        <v> ip address 10.7.15.75 255.255.255.255</v>
      </c>
      <c r="G133" s="34" t="str">
        <f>_cfg_parts!Q133</f>
        <v> ip address 10.7.15.43 255.255.255.255</v>
      </c>
    </row>
    <row r="134" spans="6:7" ht="16" x14ac:dyDescent="0.2">
      <c r="F134" s="33" t="str">
        <f>_cfg_parts!L134</f>
        <v> ip tcp adjust-mss 1350</v>
      </c>
      <c r="G134" s="34" t="str">
        <f>_cfg_parts!Q134</f>
        <v> ip tcp adjust-mss 1350</v>
      </c>
    </row>
    <row r="135" spans="6:7" ht="16" x14ac:dyDescent="0.2">
      <c r="F135" s="33" t="str">
        <f>_cfg_parts!L135</f>
        <v> tunnel source Loopback12</v>
      </c>
      <c r="G135" s="34" t="str">
        <f>_cfg_parts!Q135</f>
        <v> tunnel source Loopback12</v>
      </c>
    </row>
    <row r="136" spans="6:7" ht="16" x14ac:dyDescent="0.2">
      <c r="F136" s="33" t="str">
        <f>_cfg_parts!L136</f>
        <v> tunnel mode ipsec ipv4</v>
      </c>
      <c r="G136" s="34" t="str">
        <f>_cfg_parts!Q136</f>
        <v> tunnel mode ipsec ipv4</v>
      </c>
    </row>
    <row r="137" spans="6:7" ht="16" x14ac:dyDescent="0.2">
      <c r="F137" s="33" t="str">
        <f>_cfg_parts!L137</f>
        <v> tunnel destination 3.140.13.195</v>
      </c>
      <c r="G137" s="34" t="str">
        <f>_cfg_parts!Q137</f>
        <v> tunnel destination 3.140.13.195</v>
      </c>
    </row>
    <row r="138" spans="6:7" ht="16" x14ac:dyDescent="0.2">
      <c r="F138" s="33" t="str">
        <f>_cfg_parts!L138</f>
        <v> tunnel protection ipsec profile sse-ipsec-secondary-2</v>
      </c>
      <c r="G138" s="34" t="str">
        <f>_cfg_parts!Q138</f>
        <v> tunnel protection ipsec profile sse-ipsec-secondary-2</v>
      </c>
    </row>
    <row r="139" spans="6:7" ht="16" x14ac:dyDescent="0.2">
      <c r="F139" s="33" t="str">
        <f>_cfg_parts!L139</f>
        <v>!</v>
      </c>
      <c r="G139" s="34" t="str">
        <f>_cfg_parts!Q139</f>
        <v>!</v>
      </c>
    </row>
    <row r="140" spans="6:7" ht="16" x14ac:dyDescent="0.2">
      <c r="F140" s="33" t="str">
        <f>_cfg_parts!L140</f>
        <v>interface GigabitEthernet1</v>
      </c>
      <c r="G140" s="34" t="str">
        <f>_cfg_parts!Q140</f>
        <v>interface GigabitEthernet1</v>
      </c>
    </row>
    <row r="141" spans="6:7" ht="16" x14ac:dyDescent="0.2">
      <c r="F141" s="33" t="str">
        <f>_cfg_parts!L141</f>
        <v> ip nat outside</v>
      </c>
      <c r="G141" s="34" t="str">
        <f>_cfg_parts!Q141</f>
        <v> ip nat outside</v>
      </c>
    </row>
    <row r="142" spans="6:7" ht="16" x14ac:dyDescent="0.2">
      <c r="F142" s="33" t="str">
        <f>_cfg_parts!L142</f>
        <v/>
      </c>
      <c r="G142" s="34" t="str">
        <f>_cfg_parts!Q142</f>
        <v/>
      </c>
    </row>
    <row r="143" spans="6:7" ht="16" x14ac:dyDescent="0.2">
      <c r="F143" s="33" t="str">
        <f>_cfg_parts!L143</f>
        <v>router bgp 65461</v>
      </c>
      <c r="G143" s="34" t="str">
        <f>_cfg_parts!Q143</f>
        <v>router bgp 64517</v>
      </c>
    </row>
    <row r="144" spans="6:7" ht="16" x14ac:dyDescent="0.2">
      <c r="F144" s="33" t="str">
        <f>_cfg_parts!L144</f>
        <v> bgp router-id 10.255.0.5</v>
      </c>
      <c r="G144" s="34" t="str">
        <f>_cfg_parts!Q144</f>
        <v> bgp router-id 10.53.0.198</v>
      </c>
    </row>
    <row r="145" spans="6:7" ht="16" x14ac:dyDescent="0.2">
      <c r="F145" s="33" t="str">
        <f>_cfg_parts!L145</f>
        <v> bgp log-neighbor-changes</v>
      </c>
      <c r="G145" s="34" t="str">
        <f>_cfg_parts!Q145</f>
        <v> bgp log-neighbor-changes</v>
      </c>
    </row>
    <row r="146" spans="6:7" ht="16" x14ac:dyDescent="0.2">
      <c r="F146" s="33" t="str">
        <f>_cfg_parts!L146</f>
        <v> neighbor CISCO_SSE peer-group</v>
      </c>
      <c r="G146" s="34" t="str">
        <f>_cfg_parts!Q146</f>
        <v> neighbor CISCO_SSE peer-group</v>
      </c>
    </row>
    <row r="147" spans="6:7" ht="16" x14ac:dyDescent="0.2">
      <c r="F147" s="33" t="str">
        <f>_cfg_parts!L147</f>
        <v> neighbor CISCO_SSE remote-as 32644</v>
      </c>
      <c r="G147" s="34" t="str">
        <f>_cfg_parts!Q147</f>
        <v> neighbor CISCO_SSE remote-as 32644</v>
      </c>
    </row>
    <row r="148" spans="6:7" ht="16" x14ac:dyDescent="0.2">
      <c r="F148" s="33" t="str">
        <f>_cfg_parts!L148</f>
        <v> neighbor 169.254.0.1 peer-group CISCO_SSE</v>
      </c>
      <c r="G148" s="34" t="str">
        <f>_cfg_parts!Q148</f>
        <v> neighbor 169.254.0.1 peer-group CISCO_SSE</v>
      </c>
    </row>
    <row r="149" spans="6:7" ht="16" x14ac:dyDescent="0.2">
      <c r="F149" s="33" t="str">
        <f>_cfg_parts!L149</f>
        <v> neighbor 169.254.0.1 ebgp-multihop 255</v>
      </c>
      <c r="G149" s="34" t="str">
        <f>_cfg_parts!Q149</f>
        <v> neighbor 169.254.0.1 ebgp-multihop 255</v>
      </c>
    </row>
    <row r="150" spans="6:7" ht="16" x14ac:dyDescent="0.2">
      <c r="F150" s="33" t="str">
        <f>_cfg_parts!L150</f>
        <v> neighbor 169.254.0.1 update-source Tunnel1</v>
      </c>
      <c r="G150" s="34" t="str">
        <f>_cfg_parts!Q150</f>
        <v> neighbor 169.254.0.1 update-source Tunnel1</v>
      </c>
    </row>
    <row r="151" spans="6:7" ht="16" x14ac:dyDescent="0.2">
      <c r="F151" s="33" t="str">
        <f>_cfg_parts!L151</f>
        <v> neighbor 169.254.0.2 peer-group CISCO_SSE</v>
      </c>
      <c r="G151" s="34" t="str">
        <f>_cfg_parts!Q151</f>
        <v> neighbor 169.254.0.2 peer-group CISCO_SSE</v>
      </c>
    </row>
    <row r="152" spans="6:7" ht="16" x14ac:dyDescent="0.2">
      <c r="F152" s="33" t="str">
        <f>_cfg_parts!L152</f>
        <v> neighbor 169.254.0.2 ebgp-multihop 255</v>
      </c>
      <c r="G152" s="34" t="str">
        <f>_cfg_parts!Q152</f>
        <v> neighbor 169.254.0.2 ebgp-multihop 255</v>
      </c>
    </row>
    <row r="153" spans="6:7" ht="16" x14ac:dyDescent="0.2">
      <c r="F153" s="33" t="str">
        <f>_cfg_parts!L153</f>
        <v> neighbor 169.254.0.2 update-source Tunnel2</v>
      </c>
      <c r="G153" s="34" t="str">
        <f>_cfg_parts!Q153</f>
        <v> neighbor 169.254.0.2 update-source Tunnel2</v>
      </c>
    </row>
    <row r="154" spans="6:7" ht="16" x14ac:dyDescent="0.2">
      <c r="F154" s="33" t="str">
        <f>_cfg_parts!L154</f>
        <v> neighbor 169.254.0.11 peer-group CISCO_SSE</v>
      </c>
      <c r="G154" s="34" t="str">
        <f>_cfg_parts!Q154</f>
        <v> neighbor 169.254.0.11 peer-group CISCO_SSE</v>
      </c>
    </row>
    <row r="155" spans="6:7" ht="16" x14ac:dyDescent="0.2">
      <c r="F155" s="33" t="str">
        <f>_cfg_parts!L155</f>
        <v> neighbor 169.254.0.11 ebgp-multihop 255</v>
      </c>
      <c r="G155" s="34" t="str">
        <f>_cfg_parts!Q155</f>
        <v> neighbor 169.254.0.11 ebgp-multihop 255</v>
      </c>
    </row>
    <row r="156" spans="6:7" ht="16" x14ac:dyDescent="0.2">
      <c r="F156" s="33" t="str">
        <f>_cfg_parts!L156</f>
        <v> neighbor 169.254.0.11 update-source Tunnel11</v>
      </c>
      <c r="G156" s="34" t="str">
        <f>_cfg_parts!Q156</f>
        <v> neighbor 169.254.0.11 update-source Tunnel11</v>
      </c>
    </row>
    <row r="157" spans="6:7" ht="16" x14ac:dyDescent="0.2">
      <c r="F157" s="33" t="str">
        <f>_cfg_parts!L157</f>
        <v> neighbor 169.254.0.12 peer-group CISCO_SSE</v>
      </c>
      <c r="G157" s="34" t="str">
        <f>_cfg_parts!Q157</f>
        <v> neighbor 169.254.0.12 peer-group CISCO_SSE</v>
      </c>
    </row>
    <row r="158" spans="6:7" ht="16" x14ac:dyDescent="0.2">
      <c r="F158" s="33" t="str">
        <f>_cfg_parts!L158</f>
        <v> neighbor 169.254.0.12 ebgp-multihop 255</v>
      </c>
      <c r="G158" s="34" t="str">
        <f>_cfg_parts!Q158</f>
        <v> neighbor 169.254.0.12 ebgp-multihop 255</v>
      </c>
    </row>
    <row r="159" spans="6:7" ht="16" x14ac:dyDescent="0.2">
      <c r="F159" s="33" t="str">
        <f>_cfg_parts!L159</f>
        <v> neighbor 169.254.0.12 update-source Tunnel12</v>
      </c>
      <c r="G159" s="34" t="str">
        <f>_cfg_parts!Q159</f>
        <v> neighbor 169.254.0.12 update-source Tunnel12</v>
      </c>
    </row>
    <row r="160" spans="6:7" ht="16" x14ac:dyDescent="0.2">
      <c r="F160" s="33" t="str">
        <f>_cfg_parts!L160</f>
        <v> !        </v>
      </c>
      <c r="G160" s="34" t="str">
        <f>_cfg_parts!Q160</f>
        <v> !        </v>
      </c>
    </row>
    <row r="161" spans="6:7" ht="16" x14ac:dyDescent="0.2">
      <c r="F161" s="33" t="str">
        <f>_cfg_parts!L161</f>
        <v> address-family ipv4</v>
      </c>
      <c r="G161" s="34" t="str">
        <f>_cfg_parts!Q161</f>
        <v> address-family ipv4</v>
      </c>
    </row>
    <row r="162" spans="6:7" ht="16" x14ac:dyDescent="0.2">
      <c r="F162" s="33" t="str">
        <f>_cfg_parts!L162</f>
        <v>  neighbor CISCO_SSE send-community both</v>
      </c>
      <c r="G162" s="34" t="str">
        <f>_cfg_parts!Q162</f>
        <v>  neighbor CISCO_SSE send-community both</v>
      </c>
    </row>
    <row r="163" spans="6:7" ht="16" x14ac:dyDescent="0.2">
      <c r="F163" s="33" t="str">
        <f>_cfg_parts!L163</f>
        <v>  neighbor CISCO_SSE soft-reconfiguration inbound</v>
      </c>
      <c r="G163" s="34" t="str">
        <f>_cfg_parts!Q163</f>
        <v>  neighbor CISCO_SSE soft-reconfiguration inbound</v>
      </c>
    </row>
    <row r="164" spans="6:7" ht="16" x14ac:dyDescent="0.2">
      <c r="F164" s="33" t="str">
        <f>_cfg_parts!L164</f>
        <v>  neighbor CISCO_SSE route-map FROM_SSE_IMPORT in</v>
      </c>
      <c r="G164" s="34" t="str">
        <f>_cfg_parts!Q164</f>
        <v>  neighbor CISCO_SSE route-map FROM_SSE_IMPORT in</v>
      </c>
    </row>
    <row r="165" spans="6:7" ht="16" x14ac:dyDescent="0.2">
      <c r="F165" s="33" t="str">
        <f>_cfg_parts!L165</f>
        <v>  neighbor CISCO_SSE route-map TO_SSE_EXPORT out</v>
      </c>
      <c r="G165" s="34" t="str">
        <f>_cfg_parts!Q165</f>
        <v>  neighbor CISCO_SSE route-map TO_SSE_EXPORT out</v>
      </c>
    </row>
    <row r="166" spans="6:7" ht="16" x14ac:dyDescent="0.2">
      <c r="F166" s="33" t="str">
        <f>_cfg_parts!L166</f>
        <v> exit-address-family</v>
      </c>
      <c r="G166" s="34" t="str">
        <f>_cfg_parts!Q166</f>
        <v> exit-address-family</v>
      </c>
    </row>
    <row r="167" spans="6:7" ht="16" x14ac:dyDescent="0.2">
      <c r="F167" s="33" t="str">
        <f>_cfg_parts!L167</f>
        <v>!</v>
      </c>
      <c r="G167" s="34" t="str">
        <f>_cfg_parts!Q167</f>
        <v>!</v>
      </c>
    </row>
    <row r="168" spans="6:7" ht="16" x14ac:dyDescent="0.2">
      <c r="F168" s="33" t="str">
        <f>_cfg_parts!L168</f>
        <v>ip route 169.254.0.1 255.255.255.255 Tunnel1</v>
      </c>
      <c r="G168" s="34" t="str">
        <f>_cfg_parts!Q168</f>
        <v>ip route 169.254.0.1 255.255.255.255 Tunnel1</v>
      </c>
    </row>
    <row r="169" spans="6:7" ht="16" x14ac:dyDescent="0.2">
      <c r="F169" s="33" t="str">
        <f>_cfg_parts!L169</f>
        <v>ip route 169.254.0.2 255.255.255.255 Tunnel2</v>
      </c>
      <c r="G169" s="34" t="str">
        <f>_cfg_parts!Q169</f>
        <v>ip route 169.254.0.2 255.255.255.255 Tunnel2</v>
      </c>
    </row>
    <row r="170" spans="6:7" ht="16" x14ac:dyDescent="0.2">
      <c r="F170" s="33" t="str">
        <f>_cfg_parts!L170</f>
        <v>ip route 169.254.0.11 255.255.255.255 Tunnel11</v>
      </c>
      <c r="G170" s="34" t="str">
        <f>_cfg_parts!Q170</f>
        <v>ip route 169.254.0.11 255.255.255.255 Tunnel11</v>
      </c>
    </row>
    <row r="171" spans="6:7" ht="16" x14ac:dyDescent="0.2">
      <c r="F171" s="33" t="str">
        <f>_cfg_parts!L171</f>
        <v>ip route 169.254.0.12 255.255.255.255 Tunnel12</v>
      </c>
      <c r="G171" s="34" t="str">
        <f>_cfg_parts!Q171</f>
        <v>ip route 169.254.0.12 255.255.255.255 Tunnel12</v>
      </c>
    </row>
    <row r="172" spans="6:7" ht="16" x14ac:dyDescent="0.2">
      <c r="F172" s="33" t="str">
        <f>_cfg_parts!L172</f>
        <v/>
      </c>
      <c r="G172" s="34" t="str">
        <f>_cfg_parts!Q172</f>
        <v/>
      </c>
    </row>
    <row r="173" spans="6:7" ht="16" x14ac:dyDescent="0.2">
      <c r="F173" s="33" t="str">
        <f>_cfg_parts!L173</f>
        <v>ip nat inside source list SSE_IKE_NAT interface GigabitEthernet1 overload</v>
      </c>
      <c r="G173" s="34" t="str">
        <f>_cfg_parts!Q173</f>
        <v>ip nat inside source list SSE_IKE_NAT interface GigabitEthernet1 overload</v>
      </c>
    </row>
    <row r="174" spans="6:7" ht="16" x14ac:dyDescent="0.2">
      <c r="F174" s="33" t="str">
        <f>_cfg_parts!L174</f>
        <v/>
      </c>
      <c r="G174" s="34" t="str">
        <f>_cfg_parts!Q174</f>
        <v/>
      </c>
    </row>
    <row r="175" spans="6:7" ht="16" x14ac:dyDescent="0.2">
      <c r="F175" s="33" t="str">
        <f>_cfg_parts!L175</f>
        <v>ip access-list extended SSE_IKE_NAT</v>
      </c>
      <c r="G175" s="34" t="str">
        <f>_cfg_parts!Q175</f>
        <v>ip access-list extended SSE_IKE_NAT</v>
      </c>
    </row>
    <row r="176" spans="6:7" ht="16" x14ac:dyDescent="0.2">
      <c r="F176" s="33" t="str">
        <f>_cfg_parts!L176</f>
        <v> 10 permit ip 100.64.255.0 0.0.0.255 any</v>
      </c>
      <c r="G176" s="34" t="str">
        <f>_cfg_parts!Q176</f>
        <v> 10 permit ip 100.64.255.0 0.0.0.255 any</v>
      </c>
    </row>
    <row r="177" spans="6:7" ht="16" x14ac:dyDescent="0.2">
      <c r="F177" s="33" t="str">
        <f>_cfg_parts!L177</f>
        <v/>
      </c>
      <c r="G177" s="34" t="str">
        <f>_cfg_parts!Q177</f>
        <v/>
      </c>
    </row>
    <row r="178" spans="6:7" ht="16" x14ac:dyDescent="0.2">
      <c r="F178" s="33" t="str">
        <f>_cfg_parts!L178</f>
        <v>route-map FROM_SSE_IMPORT deny 999 </v>
      </c>
      <c r="G178" s="34" t="str">
        <f>_cfg_parts!Q178</f>
        <v>route-map FROM_SSE_IMPORT deny 999 </v>
      </c>
    </row>
    <row r="179" spans="6:7" ht="16" x14ac:dyDescent="0.2">
      <c r="F179" s="33">
        <f>_cfg_parts!L179</f>
        <v>0</v>
      </c>
      <c r="G179" s="34">
        <f>_cfg_parts!Q179</f>
        <v>0</v>
      </c>
    </row>
    <row r="180" spans="6:7" ht="16" x14ac:dyDescent="0.2">
      <c r="F180" s="33" t="str">
        <f>_cfg_parts!L180</f>
        <v>ip bgp-community new-format </v>
      </c>
      <c r="G180" s="34" t="str">
        <f>_cfg_parts!Q180</f>
        <v>ip bgp-community new-format </v>
      </c>
    </row>
    <row r="181" spans="6:7" ht="16" x14ac:dyDescent="0.2">
      <c r="F181" s="33">
        <f>_cfg_parts!L181</f>
        <v>0</v>
      </c>
      <c r="G181" s="34">
        <f>_cfg_parts!Q181</f>
        <v>0</v>
      </c>
    </row>
    <row r="182" spans="6:7" ht="16" x14ac:dyDescent="0.2">
      <c r="F182" s="33" t="str">
        <f>_cfg_parts!L182</f>
        <v/>
      </c>
      <c r="G182" s="34" t="str">
        <f>_cfg_parts!Q182</f>
        <v/>
      </c>
    </row>
    <row r="183" spans="6:7" ht="16" x14ac:dyDescent="0.2">
      <c r="F183" s="33" t="str">
        <f>_cfg_parts!L183</f>
        <v>route-map TO_SSE_EXPORT permit 5 </v>
      </c>
      <c r="G183" s="34" t="str">
        <f>_cfg_parts!Q183</f>
        <v>route-map TO_SSE_EXPORT permit 5 </v>
      </c>
    </row>
    <row r="184" spans="6:7" ht="16" x14ac:dyDescent="0.2">
      <c r="F184" s="33" t="str">
        <f>_cfg_parts!L184</f>
        <v> match ip address prefix-list AZURE_CENTRAL_PREFIXES</v>
      </c>
      <c r="G184" s="34" t="str">
        <f>_cfg_parts!Q184</f>
        <v> match ip address prefix-list AZURE_CENTRAL_PREFIXES</v>
      </c>
    </row>
    <row r="185" spans="6:7" ht="16" x14ac:dyDescent="0.2">
      <c r="F185" s="33" t="str">
        <f>_cfg_parts!L185</f>
        <v> set as-path prepend 64514 64514 64514</v>
      </c>
      <c r="G185" s="34" t="str">
        <f>_cfg_parts!Q185</f>
        <v> set as-path prepend 64514 64514 64514</v>
      </c>
    </row>
    <row r="186" spans="6:7" ht="16" x14ac:dyDescent="0.2">
      <c r="F186" s="33" t="str">
        <f>_cfg_parts!L186</f>
        <v>!         </v>
      </c>
      <c r="G186" s="34" t="str">
        <f>_cfg_parts!Q186</f>
        <v>!         </v>
      </c>
    </row>
    <row r="187" spans="6:7" ht="16" x14ac:dyDescent="0.2">
      <c r="F187" s="33" t="str">
        <f>_cfg_parts!L187</f>
        <v>route-map TO_SSE_EXPORT permit 10 </v>
      </c>
      <c r="G187" s="34" t="str">
        <f>_cfg_parts!Q187</f>
        <v>route-map TO_SSE_EXPORT permit 10 </v>
      </c>
    </row>
    <row r="188" spans="6:7" ht="16" x14ac:dyDescent="0.2">
      <c r="F188" s="33" t="str">
        <f>_cfg_parts!L188</f>
        <v> match ip address prefix-list RFC1918_SUMMARIES</v>
      </c>
      <c r="G188" s="34" t="str">
        <f>_cfg_parts!Q188</f>
        <v> match ip address prefix-list RFC1918_SUMMARIES</v>
      </c>
    </row>
    <row r="189" spans="6:7" ht="16" x14ac:dyDescent="0.2">
      <c r="F189" s="33" t="e">
        <f>_cfg_parts!L189</f>
        <v>#VALUE!</v>
      </c>
      <c r="G189" s="34" t="e">
        <f>_cfg_parts!Q189</f>
        <v>#VALUE!</v>
      </c>
    </row>
    <row r="190" spans="6:7" ht="16" x14ac:dyDescent="0.2">
      <c r="F190" s="33" t="str">
        <f>_cfg_parts!L190</f>
        <v> set as-path prepend 64514 64514 64514</v>
      </c>
      <c r="G190" s="34" t="str">
        <f>_cfg_parts!Q190</f>
        <v> set as-path prepend 64514 64514 64514</v>
      </c>
    </row>
    <row r="191" spans="6:7" ht="16" x14ac:dyDescent="0.2">
      <c r="F191" s="33" t="str">
        <f>_cfg_parts!L191</f>
        <v>!         </v>
      </c>
      <c r="G191" s="34" t="str">
        <f>_cfg_parts!Q191</f>
        <v>!         </v>
      </c>
    </row>
    <row r="192" spans="6:7" ht="16" x14ac:dyDescent="0.2">
      <c r="F192" s="33" t="str">
        <f>_cfg_parts!L192</f>
        <v>route-map TO_SSE_EXPORT permit 15 </v>
      </c>
      <c r="G192" s="34" t="str">
        <f>_cfg_parts!Q192</f>
        <v>route-map TO_SSE_EXPORT permit 15 </v>
      </c>
    </row>
    <row r="193" spans="6:7" ht="16" x14ac:dyDescent="0.2">
      <c r="F193" s="33" t="str">
        <f>_cfg_parts!L193</f>
        <v> match ip address prefix-list CISCO_MGMT_IOS</v>
      </c>
      <c r="G193" s="34" t="str">
        <f>_cfg_parts!Q193</f>
        <v> match ip address prefix-list CISCO_MGMT_IOS</v>
      </c>
    </row>
    <row r="194" spans="6:7" ht="16" x14ac:dyDescent="0.2">
      <c r="F194" s="33" t="str">
        <f>_cfg_parts!L194</f>
        <v> set as-path prepend 64514 64514</v>
      </c>
      <c r="G194" s="34" t="str">
        <f>_cfg_parts!Q194</f>
        <v> set as-path prepend 64514 64514</v>
      </c>
    </row>
    <row r="195" spans="6:7" ht="16" x14ac:dyDescent="0.2">
      <c r="F195" s="33" t="str">
        <f>_cfg_parts!L195</f>
        <v>!         </v>
      </c>
      <c r="G195" s="34" t="str">
        <f>_cfg_parts!Q195</f>
        <v>!         </v>
      </c>
    </row>
    <row r="196" spans="6:7" ht="16" x14ac:dyDescent="0.2">
      <c r="F196" s="33" t="str">
        <f>_cfg_parts!L196</f>
        <v>!         </v>
      </c>
      <c r="G196" s="34" t="str">
        <f>_cfg_parts!Q196</f>
        <v>!         </v>
      </c>
    </row>
    <row r="197" spans="6:7" ht="16" x14ac:dyDescent="0.2">
      <c r="F197" s="33" t="str">
        <f>_cfg_parts!L197</f>
        <v>!         </v>
      </c>
      <c r="G197" s="34" t="str">
        <f>_cfg_parts!Q197</f>
        <v>!         </v>
      </c>
    </row>
    <row r="198" spans="6:7" ht="16" x14ac:dyDescent="0.2">
      <c r="F198" s="33" t="str">
        <f>_cfg_parts!L198</f>
        <v>!         </v>
      </c>
      <c r="G198" s="34" t="str">
        <f>_cfg_parts!Q198</f>
        <v>!         </v>
      </c>
    </row>
    <row r="199" spans="6:7" ht="16" x14ac:dyDescent="0.2">
      <c r="F199" s="33" t="str">
        <f>_cfg_parts!L199</f>
        <v>ip bgp-community new-format </v>
      </c>
      <c r="G199" s="34" t="str">
        <f>_cfg_parts!Q199</f>
        <v>ip bgp-community new-format </v>
      </c>
    </row>
    <row r="200" spans="6:7" ht="16" x14ac:dyDescent="0.2">
      <c r="F200" s="33" t="e">
        <f>_cfg_parts!L200</f>
        <v>#VALUE!</v>
      </c>
      <c r="G200" s="34" t="e">
        <f>_cfg_parts!Q200</f>
        <v>#VALUE!</v>
      </c>
    </row>
    <row r="201" spans="6:7" ht="16" x14ac:dyDescent="0.2">
      <c r="F201" s="33" t="e">
        <f>_cfg_parts!L201</f>
        <v>#VALUE!</v>
      </c>
      <c r="G201" s="34" t="e">
        <f>_cfg_parts!Q201</f>
        <v>#VALUE!</v>
      </c>
    </row>
    <row r="202" spans="6:7" ht="16" x14ac:dyDescent="0.2">
      <c r="F202" s="33" t="e">
        <f>_cfg_parts!L202</f>
        <v>#VALUE!</v>
      </c>
      <c r="G202" s="34" t="e">
        <f>_cfg_parts!Q202</f>
        <v>#VALUE!</v>
      </c>
    </row>
    <row r="203" spans="6:7" ht="16" x14ac:dyDescent="0.2">
      <c r="F203" s="33" t="e">
        <f>_cfg_parts!L203</f>
        <v>#VALUE!</v>
      </c>
      <c r="G203" s="34" t="e">
        <f>_cfg_parts!Q203</f>
        <v>#VALUE!</v>
      </c>
    </row>
    <row r="204" spans="6:7" ht="16" x14ac:dyDescent="0.2">
      <c r="F204" s="33" t="e">
        <f>_cfg_parts!L204</f>
        <v>#VALUE!</v>
      </c>
      <c r="G204" s="34" t="e">
        <f>_cfg_parts!Q204</f>
        <v>#VALUE!</v>
      </c>
    </row>
    <row r="205" spans="6:7" ht="16" x14ac:dyDescent="0.2">
      <c r="F205" s="33" t="e">
        <f>_cfg_parts!L205</f>
        <v>#VALUE!</v>
      </c>
      <c r="G205" s="34" t="e">
        <f>_cfg_parts!Q205</f>
        <v>#VALUE!</v>
      </c>
    </row>
    <row r="206" spans="6:7" ht="16" x14ac:dyDescent="0.2">
      <c r="F206" s="33" t="e">
        <f>_cfg_parts!L206</f>
        <v>#VALUE!</v>
      </c>
      <c r="G206" s="34" t="e">
        <f>_cfg_parts!Q206</f>
        <v>#VALUE!</v>
      </c>
    </row>
    <row r="207" spans="6:7" ht="16" x14ac:dyDescent="0.2">
      <c r="F207" s="33" t="e">
        <f>_cfg_parts!L207</f>
        <v>#VALUE!</v>
      </c>
      <c r="G207" s="34" t="e">
        <f>_cfg_parts!Q207</f>
        <v>#VALUE!</v>
      </c>
    </row>
    <row r="208" spans="6:7" ht="16" x14ac:dyDescent="0.2">
      <c r="F208" s="33" t="e">
        <f>_cfg_parts!L208</f>
        <v>#VALUE!</v>
      </c>
      <c r="G208" s="34" t="e">
        <f>_cfg_parts!Q208</f>
        <v>#VALUE!</v>
      </c>
    </row>
    <row r="209" spans="6:7" ht="16" x14ac:dyDescent="0.2">
      <c r="F209" s="33" t="e">
        <f>_cfg_parts!L209</f>
        <v>#VALUE!</v>
      </c>
      <c r="G209" s="34" t="e">
        <f>_cfg_parts!Q209</f>
        <v>#VALUE!</v>
      </c>
    </row>
    <row r="210" spans="6:7" ht="16" x14ac:dyDescent="0.2">
      <c r="F210" s="33" t="e">
        <f>_cfg_parts!L210</f>
        <v>#VALUE!</v>
      </c>
      <c r="G210" s="34" t="e">
        <f>_cfg_parts!Q210</f>
        <v>#VALUE!</v>
      </c>
    </row>
    <row r="211" spans="6:7" ht="16" x14ac:dyDescent="0.2">
      <c r="F211" s="33" t="e">
        <f>_cfg_parts!L211</f>
        <v>#VALUE!</v>
      </c>
      <c r="G211" s="34" t="e">
        <f>_cfg_parts!Q211</f>
        <v>#VALUE!</v>
      </c>
    </row>
    <row r="212" spans="6:7" ht="16" x14ac:dyDescent="0.2">
      <c r="F212" s="33" t="e">
        <f>_cfg_parts!L212</f>
        <v>#VALUE!</v>
      </c>
      <c r="G212" s="34" t="e">
        <f>_cfg_parts!Q212</f>
        <v>#VALUE!</v>
      </c>
    </row>
    <row r="213" spans="6:7" ht="16" x14ac:dyDescent="0.2">
      <c r="F213" s="33" t="e">
        <f>_cfg_parts!L213</f>
        <v>#VALUE!</v>
      </c>
      <c r="G213" s="34" t="e">
        <f>_cfg_parts!Q213</f>
        <v>#VALUE!</v>
      </c>
    </row>
    <row r="214" spans="6:7" ht="16" x14ac:dyDescent="0.2">
      <c r="F214" s="33" t="e">
        <f>_cfg_parts!L214</f>
        <v>#VALUE!</v>
      </c>
      <c r="G214" s="34" t="e">
        <f>_cfg_parts!Q214</f>
        <v>#VALUE!</v>
      </c>
    </row>
    <row r="215" spans="6:7" ht="16" x14ac:dyDescent="0.2">
      <c r="F215" s="33" t="e">
        <f>_cfg_parts!L215</f>
        <v>#VALUE!</v>
      </c>
      <c r="G215" s="34" t="e">
        <f>_cfg_parts!Q215</f>
        <v>#VALUE!</v>
      </c>
    </row>
    <row r="216" spans="6:7" ht="16" x14ac:dyDescent="0.2">
      <c r="F216" s="33" t="e">
        <f>_cfg_parts!L216</f>
        <v>#VALUE!</v>
      </c>
      <c r="G216" s="34" t="e">
        <f>_cfg_parts!Q216</f>
        <v>#VALUE!</v>
      </c>
    </row>
    <row r="217" spans="6:7" ht="16" x14ac:dyDescent="0.2">
      <c r="F217" s="33" t="e">
        <f>_cfg_parts!L217</f>
        <v>#VALUE!</v>
      </c>
      <c r="G217" s="34" t="e">
        <f>_cfg_parts!Q217</f>
        <v>#VALUE!</v>
      </c>
    </row>
    <row r="218" spans="6:7" ht="16" x14ac:dyDescent="0.2">
      <c r="F218" s="33" t="e">
        <f>_cfg_parts!L218</f>
        <v>#VALUE!</v>
      </c>
      <c r="G218" s="34" t="e">
        <f>_cfg_parts!Q218</f>
        <v>#VALUE!</v>
      </c>
    </row>
    <row r="219" spans="6:7" ht="16" x14ac:dyDescent="0.2">
      <c r="F219" s="33" t="e">
        <f>_cfg_parts!L219</f>
        <v>#VALUE!</v>
      </c>
      <c r="G219" s="34" t="e">
        <f>_cfg_parts!Q219</f>
        <v>#VALUE!</v>
      </c>
    </row>
    <row r="220" spans="6:7" ht="16" x14ac:dyDescent="0.2">
      <c r="F220" s="33" t="e">
        <f>_cfg_parts!L220</f>
        <v>#VALUE!</v>
      </c>
      <c r="G220" s="34" t="e">
        <f>_cfg_parts!Q220</f>
        <v>#VALUE!</v>
      </c>
    </row>
    <row r="221" spans="6:7" ht="16" x14ac:dyDescent="0.2">
      <c r="F221" s="33" t="e">
        <f>_cfg_parts!L221</f>
        <v>#VALUE!</v>
      </c>
      <c r="G221" s="34" t="e">
        <f>_cfg_parts!Q221</f>
        <v>#VALUE!</v>
      </c>
    </row>
    <row r="222" spans="6:7" ht="16" x14ac:dyDescent="0.2">
      <c r="F222" s="33" t="e">
        <f>_cfg_parts!L222</f>
        <v>#VALUE!</v>
      </c>
      <c r="G222" s="34" t="e">
        <f>_cfg_parts!Q222</f>
        <v>#VALUE!</v>
      </c>
    </row>
    <row r="223" spans="6:7" ht="16" x14ac:dyDescent="0.2">
      <c r="F223" s="33" t="e">
        <f>_cfg_parts!L223</f>
        <v>#VALUE!</v>
      </c>
      <c r="G223" s="34" t="e">
        <f>_cfg_parts!Q223</f>
        <v>#VALUE!</v>
      </c>
    </row>
    <row r="224" spans="6:7" ht="16" x14ac:dyDescent="0.2">
      <c r="F224" s="33" t="e">
        <f>_cfg_parts!L224</f>
        <v>#VALUE!</v>
      </c>
      <c r="G224" s="34" t="e">
        <f>_cfg_parts!Q224</f>
        <v>#VALUE!</v>
      </c>
    </row>
    <row r="225" spans="6:7" ht="16" x14ac:dyDescent="0.2">
      <c r="F225" s="33" t="e">
        <f>_cfg_parts!L225</f>
        <v>#VALUE!</v>
      </c>
      <c r="G225" s="34" t="e">
        <f>_cfg_parts!Q225</f>
        <v>#VALUE!</v>
      </c>
    </row>
    <row r="226" spans="6:7" ht="16" x14ac:dyDescent="0.2">
      <c r="F226" s="33" t="e">
        <f>_cfg_parts!L226</f>
        <v>#VALUE!</v>
      </c>
      <c r="G226" s="34" t="e">
        <f>_cfg_parts!Q226</f>
        <v>#VALUE!</v>
      </c>
    </row>
    <row r="227" spans="6:7" ht="16" x14ac:dyDescent="0.2">
      <c r="F227" s="33" t="e">
        <f>_cfg_parts!L227</f>
        <v>#VALUE!</v>
      </c>
      <c r="G227" s="34" t="e">
        <f>_cfg_parts!Q227</f>
        <v>#VALUE!</v>
      </c>
    </row>
    <row r="228" spans="6:7" ht="16" x14ac:dyDescent="0.2">
      <c r="F228" s="33" t="e">
        <f>_cfg_parts!L228</f>
        <v>#VALUE!</v>
      </c>
      <c r="G228" s="34" t="e">
        <f>_cfg_parts!Q228</f>
        <v>#VALUE!</v>
      </c>
    </row>
    <row r="229" spans="6:7" ht="16" x14ac:dyDescent="0.2">
      <c r="F229" s="33" t="e">
        <f>_cfg_parts!L229</f>
        <v>#VALUE!</v>
      </c>
      <c r="G229" s="34" t="e">
        <f>_cfg_parts!Q229</f>
        <v>#VALUE!</v>
      </c>
    </row>
    <row r="230" spans="6:7" ht="16" x14ac:dyDescent="0.2">
      <c r="F230" s="33" t="e">
        <f>_cfg_parts!L230</f>
        <v>#VALUE!</v>
      </c>
      <c r="G230" s="34" t="e">
        <f>_cfg_parts!Q230</f>
        <v>#VALUE!</v>
      </c>
    </row>
    <row r="231" spans="6:7" ht="16" x14ac:dyDescent="0.2">
      <c r="F231" s="33" t="e">
        <f>_cfg_parts!L231</f>
        <v>#VALUE!</v>
      </c>
      <c r="G231" s="34" t="e">
        <f>_cfg_parts!Q231</f>
        <v>#VALUE!</v>
      </c>
    </row>
    <row r="232" spans="6:7" ht="16" x14ac:dyDescent="0.2">
      <c r="F232" s="28" t="e">
        <f>_cfg_parts!L261</f>
        <v>#VALUE!</v>
      </c>
      <c r="G232" s="34" t="e">
        <f>_cfg_parts!Q232</f>
        <v>#VALUE!</v>
      </c>
    </row>
    <row r="233" spans="6:7" ht="16" x14ac:dyDescent="0.2">
      <c r="F233" s="28" t="e">
        <f>_cfg_parts!L262</f>
        <v>#VALUE!</v>
      </c>
      <c r="G233" s="34" t="e">
        <f>_cfg_parts!Q233</f>
        <v>#VALUE!</v>
      </c>
    </row>
    <row r="234" spans="6:7" ht="16" x14ac:dyDescent="0.2">
      <c r="F234" s="28" t="e">
        <f>_cfg_parts!L263</f>
        <v>#VALUE!</v>
      </c>
      <c r="G234" s="34" t="e">
        <f>_cfg_parts!Q234</f>
        <v>#VALUE!</v>
      </c>
    </row>
    <row r="235" spans="6:7" ht="16" x14ac:dyDescent="0.2">
      <c r="F235" s="28" t="e">
        <f>_cfg_parts!L264</f>
        <v>#VALUE!</v>
      </c>
      <c r="G235" s="34">
        <f>_cfg_parts!Q235</f>
        <v>0</v>
      </c>
    </row>
    <row r="236" spans="6:7" ht="16" x14ac:dyDescent="0.2">
      <c r="F236" s="28" t="e">
        <f>_cfg_parts!L265</f>
        <v>#VALUE!</v>
      </c>
      <c r="G236" s="34">
        <f>_cfg_parts!Q236</f>
        <v>0</v>
      </c>
    </row>
    <row r="237" spans="6:7" ht="16" x14ac:dyDescent="0.2">
      <c r="F237" s="28" t="e">
        <f>_cfg_parts!L266</f>
        <v>#VALUE!</v>
      </c>
      <c r="G237" s="34">
        <f>_cfg_parts!Q237</f>
        <v>0</v>
      </c>
    </row>
    <row r="238" spans="6:7" ht="16" x14ac:dyDescent="0.2">
      <c r="F238" s="28" t="e">
        <f>_cfg_parts!L267</f>
        <v>#VALUE!</v>
      </c>
      <c r="G238" s="34">
        <f>_cfg_parts!Q238</f>
        <v>0</v>
      </c>
    </row>
    <row r="239" spans="6:7" ht="16" x14ac:dyDescent="0.2">
      <c r="F239" s="28" t="e">
        <f>_cfg_parts!L268</f>
        <v>#VALUE!</v>
      </c>
      <c r="G239" s="34">
        <f>_cfg_parts!Q239</f>
        <v>0</v>
      </c>
    </row>
    <row r="240" spans="6:7" ht="16" x14ac:dyDescent="0.2">
      <c r="F240" s="28" t="e">
        <f>_cfg_parts!L269</f>
        <v>#VALUE!</v>
      </c>
      <c r="G240" s="34">
        <f>_cfg_parts!Q240</f>
        <v>0</v>
      </c>
    </row>
    <row r="241" spans="6:7" ht="16" x14ac:dyDescent="0.2">
      <c r="F241" s="28" t="e">
        <f>_cfg_parts!L270</f>
        <v>#VALUE!</v>
      </c>
      <c r="G241" s="34">
        <f>_cfg_parts!Q241</f>
        <v>0</v>
      </c>
    </row>
    <row r="242" spans="6:7" ht="16" x14ac:dyDescent="0.2">
      <c r="F242" s="28" t="e">
        <f>_cfg_parts!L271</f>
        <v>#VALUE!</v>
      </c>
      <c r="G242" s="34">
        <f>_cfg_parts!Q242</f>
        <v>0</v>
      </c>
    </row>
    <row r="243" spans="6:7" ht="16" x14ac:dyDescent="0.2">
      <c r="F243" s="28" t="e">
        <f>_cfg_parts!L272</f>
        <v>#VALUE!</v>
      </c>
      <c r="G243" s="34">
        <f>_cfg_parts!Q243</f>
        <v>0</v>
      </c>
    </row>
    <row r="244" spans="6:7" ht="16" x14ac:dyDescent="0.2">
      <c r="F244" s="28" t="e">
        <f>_cfg_parts!L273</f>
        <v>#VALUE!</v>
      </c>
      <c r="G244" s="34">
        <f>_cfg_parts!Q244</f>
        <v>0</v>
      </c>
    </row>
    <row r="245" spans="6:7" ht="16" x14ac:dyDescent="0.2">
      <c r="F245" s="28" t="e">
        <f>_cfg_parts!L274</f>
        <v>#VALUE!</v>
      </c>
      <c r="G245" s="34">
        <f>_cfg_parts!Q245</f>
        <v>0</v>
      </c>
    </row>
    <row r="246" spans="6:7" ht="16" x14ac:dyDescent="0.2">
      <c r="F246" s="28" t="e">
        <f>_cfg_parts!L275</f>
        <v>#VALUE!</v>
      </c>
      <c r="G246" s="34">
        <f>_cfg_parts!Q246</f>
        <v>0</v>
      </c>
    </row>
    <row r="247" spans="6:7" x14ac:dyDescent="0.2">
      <c r="F247" s="28" t="e">
        <f>_cfg_parts!L276</f>
        <v>#VALUE!</v>
      </c>
    </row>
    <row r="248" spans="6:7" x14ac:dyDescent="0.2">
      <c r="F248" s="28" t="e">
        <f>_cfg_parts!L277</f>
        <v>#VALUE!</v>
      </c>
    </row>
    <row r="249" spans="6:7" x14ac:dyDescent="0.2">
      <c r="F249" s="28" t="e">
        <f>_cfg_parts!L278</f>
        <v>#VALUE!</v>
      </c>
    </row>
    <row r="250" spans="6:7" x14ac:dyDescent="0.2">
      <c r="F250" s="28" t="e">
        <f>_cfg_parts!L279</f>
        <v>#VALUE!</v>
      </c>
    </row>
    <row r="251" spans="6:7" x14ac:dyDescent="0.2">
      <c r="F251" s="28" t="e">
        <f>_cfg_parts!L280</f>
        <v>#VALUE!</v>
      </c>
    </row>
    <row r="252" spans="6:7" x14ac:dyDescent="0.2">
      <c r="F252" s="28" t="e">
        <f>_cfg_parts!L281</f>
        <v>#VALUE!</v>
      </c>
    </row>
    <row r="253" spans="6:7" x14ac:dyDescent="0.2">
      <c r="F253" s="28" t="e">
        <f>_cfg_parts!L282</f>
        <v>#VALUE!</v>
      </c>
    </row>
    <row r="254" spans="6:7" x14ac:dyDescent="0.2">
      <c r="F254" s="28" t="e">
        <f>_cfg_parts!L283</f>
        <v>#VALUE!</v>
      </c>
    </row>
    <row r="255" spans="6:7" x14ac:dyDescent="0.2">
      <c r="F255" s="28" t="e">
        <f>_cfg_parts!L284</f>
        <v>#VALUE!</v>
      </c>
    </row>
    <row r="256" spans="6:7" x14ac:dyDescent="0.2">
      <c r="F256" s="28" t="e">
        <f>_cfg_parts!L285</f>
        <v>#VALUE!</v>
      </c>
    </row>
    <row r="257" spans="6:6" x14ac:dyDescent="0.2">
      <c r="F257" s="28" t="e">
        <f>_cfg_parts!L286</f>
        <v>#VALUE!</v>
      </c>
    </row>
    <row r="258" spans="6:6" x14ac:dyDescent="0.2">
      <c r="F258" s="28" t="e">
        <f>_cfg_parts!L287</f>
        <v>#VALUE!</v>
      </c>
    </row>
    <row r="259" spans="6:6" x14ac:dyDescent="0.2">
      <c r="F259" s="28" t="e">
        <f>_cfg_parts!L288</f>
        <v>#VALUE!</v>
      </c>
    </row>
    <row r="260" spans="6:6" x14ac:dyDescent="0.2">
      <c r="F260" s="28" t="e">
        <f>_cfg_parts!L289</f>
        <v>#VALUE!</v>
      </c>
    </row>
    <row r="261" spans="6:6" x14ac:dyDescent="0.2">
      <c r="F261" s="28" t="e">
        <f>_cfg_parts!L290</f>
        <v>#VALUE!</v>
      </c>
    </row>
    <row r="262" spans="6:6" x14ac:dyDescent="0.2">
      <c r="F262" s="28" t="e">
        <f>_cfg_parts!L291</f>
        <v>#VALUE!</v>
      </c>
    </row>
  </sheetData>
  <mergeCells count="2">
    <mergeCell ref="F1:G1"/>
    <mergeCell ref="B78:D78"/>
  </mergeCells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955F30F-2931-B54B-A096-1A05679C548E}">
          <x14:formula1>
            <xm:f>_data!$D$2:$D$9</xm:f>
          </x14:formula1>
          <xm:sqref>C22 C26 C10 C14</xm:sqref>
        </x14:dataValidation>
        <x14:dataValidation type="list" allowBlank="1" showInputMessage="1" showErrorMessage="1" xr:uid="{DD0D8906-AD7F-8E45-9DFD-A44EF399F9D9}">
          <x14:formula1>
            <xm:f>_data!$H$2:$H$8</xm:f>
          </x14:formula1>
          <xm:sqref>B86:B124</xm:sqref>
        </x14:dataValidation>
        <x14:dataValidation type="list" allowBlank="1" showInputMessage="1" showErrorMessage="1" xr:uid="{FA8DEE79-61A9-A84C-8F0F-0794E915448C}">
          <x14:formula1>
            <xm:f>_data!$J$2:$J$10</xm:f>
          </x14:formula1>
          <xm:sqref>C86:C129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6D4D-7DD0-2A42-AE6E-B80A0C8A3CAE}">
  <dimension ref="A1"/>
  <sheetViews>
    <sheetView workbookViewId="0">
      <selection activeCell="P29" sqref="P29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1DFE-90AF-5D48-BFB8-C271C8DA0E6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9"/>
  <sheetViews>
    <sheetView zoomScale="180" workbookViewId="0">
      <selection activeCell="H10" sqref="H10:H20"/>
    </sheetView>
  </sheetViews>
  <sheetFormatPr baseColWidth="10" defaultColWidth="8.83203125" defaultRowHeight="15" x14ac:dyDescent="0.2"/>
  <cols>
    <col min="1" max="1" width="14.6640625" customWidth="1"/>
    <col min="2" max="2" width="17" customWidth="1"/>
    <col min="3" max="3" width="12.5" customWidth="1"/>
    <col min="5" max="6" width="14.6640625" customWidth="1"/>
    <col min="7" max="7" width="13.1640625" customWidth="1"/>
    <col min="8" max="8" width="22.33203125" customWidth="1"/>
    <col min="9" max="9" width="10.1640625" customWidth="1"/>
    <col min="10" max="10" width="20" customWidth="1"/>
    <col min="11" max="11" width="14.33203125" customWidth="1"/>
  </cols>
  <sheetData>
    <row r="1" spans="1:13" ht="21" x14ac:dyDescent="0.2">
      <c r="A1" s="1" t="s">
        <v>0</v>
      </c>
      <c r="E1" s="102" t="s">
        <v>1</v>
      </c>
      <c r="F1" s="102"/>
      <c r="G1" s="102"/>
      <c r="H1" s="102"/>
      <c r="I1" s="102"/>
      <c r="J1" s="102"/>
      <c r="K1" s="102"/>
    </row>
    <row r="2" spans="1:13" ht="19" x14ac:dyDescent="0.2">
      <c r="A2" s="1"/>
      <c r="E2" s="103" t="s">
        <v>49</v>
      </c>
      <c r="F2" s="103"/>
      <c r="G2" s="103"/>
      <c r="H2" s="103"/>
      <c r="I2" s="103"/>
      <c r="J2" s="103"/>
      <c r="K2" s="103"/>
    </row>
    <row r="3" spans="1:13" ht="19" x14ac:dyDescent="0.2">
      <c r="A3" s="1"/>
      <c r="E3" s="103" t="s">
        <v>50</v>
      </c>
      <c r="F3" s="103"/>
      <c r="G3" s="103"/>
      <c r="H3" s="103"/>
      <c r="I3" s="103"/>
      <c r="J3" s="103"/>
      <c r="K3" s="103"/>
    </row>
    <row r="4" spans="1:13" ht="19" x14ac:dyDescent="0.2">
      <c r="A4" t="s">
        <v>2</v>
      </c>
      <c r="B4" t="s">
        <v>3</v>
      </c>
      <c r="C4" t="s">
        <v>4</v>
      </c>
      <c r="E4" s="103" t="s">
        <v>51</v>
      </c>
      <c r="F4" s="103"/>
      <c r="G4" s="103"/>
      <c r="H4" s="103"/>
      <c r="I4" s="103"/>
      <c r="J4" s="103"/>
      <c r="K4" s="103"/>
    </row>
    <row r="5" spans="1:13" ht="19" x14ac:dyDescent="0.2">
      <c r="E5" s="5"/>
      <c r="F5" s="5"/>
      <c r="G5" s="5"/>
      <c r="H5" s="5"/>
      <c r="I5" s="5"/>
      <c r="J5" s="5"/>
      <c r="K5" s="5"/>
    </row>
    <row r="6" spans="1:13" ht="18" customHeight="1" x14ac:dyDescent="0.25">
      <c r="E6" s="103" t="s">
        <v>49</v>
      </c>
      <c r="F6" s="103"/>
      <c r="G6" s="103"/>
      <c r="H6" s="103"/>
      <c r="I6" s="103"/>
      <c r="J6" s="103"/>
      <c r="K6" s="103"/>
      <c r="L6" s="2"/>
      <c r="M6" s="2"/>
    </row>
    <row r="7" spans="1:13" ht="18" customHeight="1" thickBot="1" x14ac:dyDescent="0.3">
      <c r="E7" s="1" t="s">
        <v>71</v>
      </c>
      <c r="F7" s="1" t="s">
        <v>43</v>
      </c>
      <c r="G7" s="1" t="s">
        <v>70</v>
      </c>
      <c r="H7" s="1" t="s">
        <v>69</v>
      </c>
      <c r="I7" s="1" t="s">
        <v>10</v>
      </c>
      <c r="J7" s="1" t="s">
        <v>67</v>
      </c>
      <c r="K7" s="1" t="s">
        <v>68</v>
      </c>
      <c r="L7" s="2"/>
      <c r="M7" s="2"/>
    </row>
    <row r="8" spans="1:13" ht="16" thickBot="1" x14ac:dyDescent="0.25">
      <c r="A8" t="s">
        <v>5</v>
      </c>
      <c r="E8" s="14" t="s">
        <v>27</v>
      </c>
      <c r="F8" s="15" t="s">
        <v>27</v>
      </c>
      <c r="G8" s="15" t="s">
        <v>27</v>
      </c>
      <c r="H8" s="15" t="s">
        <v>27</v>
      </c>
      <c r="I8" s="15" t="s">
        <v>48</v>
      </c>
      <c r="J8" s="15"/>
      <c r="K8" s="16" t="s">
        <v>28</v>
      </c>
    </row>
    <row r="9" spans="1:13" x14ac:dyDescent="0.2">
      <c r="E9" s="6" t="s">
        <v>27</v>
      </c>
      <c r="F9" s="7" t="s">
        <v>6</v>
      </c>
      <c r="G9" s="7" t="s">
        <v>23</v>
      </c>
      <c r="H9" s="7" t="s">
        <v>27</v>
      </c>
      <c r="I9" s="7" t="s">
        <v>52</v>
      </c>
      <c r="J9" s="7"/>
      <c r="K9" s="8" t="s">
        <v>64</v>
      </c>
    </row>
    <row r="10" spans="1:13" x14ac:dyDescent="0.2">
      <c r="A10" t="s">
        <v>5</v>
      </c>
      <c r="E10" s="9" t="s">
        <v>12</v>
      </c>
      <c r="F10" t="s">
        <v>6</v>
      </c>
      <c r="G10" t="s">
        <v>23</v>
      </c>
      <c r="H10" t="s">
        <v>11</v>
      </c>
      <c r="I10" t="s">
        <v>53</v>
      </c>
      <c r="J10" t="s">
        <v>15</v>
      </c>
      <c r="K10" s="10"/>
    </row>
    <row r="11" spans="1:13" ht="16" thickBot="1" x14ac:dyDescent="0.25">
      <c r="E11" s="11" t="s">
        <v>13</v>
      </c>
      <c r="F11" s="12" t="s">
        <v>6</v>
      </c>
      <c r="G11" s="12" t="s">
        <v>23</v>
      </c>
      <c r="H11" s="12" t="s">
        <v>14</v>
      </c>
      <c r="I11" s="12" t="s">
        <v>54</v>
      </c>
      <c r="J11" s="12" t="s">
        <v>15</v>
      </c>
      <c r="K11" s="13"/>
    </row>
    <row r="12" spans="1:13" x14ac:dyDescent="0.2">
      <c r="E12" s="6" t="s">
        <v>27</v>
      </c>
      <c r="F12" s="7" t="s">
        <v>8</v>
      </c>
      <c r="G12" s="7" t="s">
        <v>23</v>
      </c>
      <c r="H12" s="7" t="s">
        <v>27</v>
      </c>
      <c r="I12" s="7" t="s">
        <v>55</v>
      </c>
      <c r="J12" s="7"/>
      <c r="K12" s="8" t="s">
        <v>65</v>
      </c>
    </row>
    <row r="13" spans="1:13" x14ac:dyDescent="0.2">
      <c r="E13" s="9" t="s">
        <v>16</v>
      </c>
      <c r="F13" t="s">
        <v>8</v>
      </c>
      <c r="G13" t="s">
        <v>23</v>
      </c>
      <c r="H13" t="s">
        <v>17</v>
      </c>
      <c r="I13" t="s">
        <v>56</v>
      </c>
      <c r="K13" s="10"/>
    </row>
    <row r="14" spans="1:13" ht="16" thickBot="1" x14ac:dyDescent="0.25">
      <c r="E14" s="11" t="s">
        <v>18</v>
      </c>
      <c r="F14" s="12" t="s">
        <v>8</v>
      </c>
      <c r="G14" s="12" t="s">
        <v>23</v>
      </c>
      <c r="H14" s="12" t="s">
        <v>19</v>
      </c>
      <c r="I14" s="12" t="s">
        <v>57</v>
      </c>
      <c r="J14" s="12"/>
      <c r="K14" s="13"/>
    </row>
    <row r="15" spans="1:13" x14ac:dyDescent="0.2">
      <c r="E15" s="6" t="s">
        <v>27</v>
      </c>
      <c r="F15" s="7" t="s">
        <v>7</v>
      </c>
      <c r="G15" s="7" t="s">
        <v>22</v>
      </c>
      <c r="H15" s="7" t="s">
        <v>27</v>
      </c>
      <c r="I15" t="s">
        <v>58</v>
      </c>
      <c r="J15" s="7"/>
      <c r="K15" s="8" t="s">
        <v>66</v>
      </c>
    </row>
    <row r="16" spans="1:13" x14ac:dyDescent="0.2">
      <c r="E16" s="9" t="s">
        <v>20</v>
      </c>
      <c r="F16" t="s">
        <v>7</v>
      </c>
      <c r="G16" t="s">
        <v>22</v>
      </c>
      <c r="H16" t="s">
        <v>24</v>
      </c>
      <c r="I16" t="s">
        <v>59</v>
      </c>
      <c r="K16" s="10"/>
    </row>
    <row r="17" spans="5:11" ht="16" thickBot="1" x14ac:dyDescent="0.25">
      <c r="E17" s="11" t="s">
        <v>21</v>
      </c>
      <c r="F17" s="12" t="s">
        <v>7</v>
      </c>
      <c r="G17" s="12" t="s">
        <v>22</v>
      </c>
      <c r="H17" s="12" t="s">
        <v>25</v>
      </c>
      <c r="I17" s="12" t="s">
        <v>60</v>
      </c>
      <c r="J17" s="12"/>
      <c r="K17" s="13"/>
    </row>
    <row r="18" spans="5:11" x14ac:dyDescent="0.2">
      <c r="E18" s="6" t="s">
        <v>27</v>
      </c>
      <c r="F18" s="7" t="s">
        <v>9</v>
      </c>
      <c r="G18" s="7" t="s">
        <v>22</v>
      </c>
      <c r="H18" s="7" t="s">
        <v>27</v>
      </c>
      <c r="I18" t="s">
        <v>61</v>
      </c>
      <c r="J18" s="7"/>
      <c r="K18" s="8" t="s">
        <v>72</v>
      </c>
    </row>
    <row r="19" spans="5:11" x14ac:dyDescent="0.2">
      <c r="E19" s="9" t="s">
        <v>44</v>
      </c>
      <c r="F19" t="s">
        <v>9</v>
      </c>
      <c r="G19" t="s">
        <v>22</v>
      </c>
      <c r="H19" t="s">
        <v>46</v>
      </c>
      <c r="I19" t="s">
        <v>62</v>
      </c>
      <c r="K19" s="10"/>
    </row>
    <row r="20" spans="5:11" ht="16" thickBot="1" x14ac:dyDescent="0.25">
      <c r="E20" s="11" t="s">
        <v>45</v>
      </c>
      <c r="F20" s="12" t="s">
        <v>9</v>
      </c>
      <c r="G20" s="12" t="s">
        <v>22</v>
      </c>
      <c r="H20" s="12" t="s">
        <v>47</v>
      </c>
      <c r="I20" s="17" t="s">
        <v>63</v>
      </c>
      <c r="J20" s="12"/>
      <c r="K20" s="13"/>
    </row>
    <row r="22" spans="5:11" ht="19" x14ac:dyDescent="0.2">
      <c r="E22" s="103" t="s">
        <v>29</v>
      </c>
      <c r="F22" s="103"/>
      <c r="G22" s="103"/>
      <c r="H22" s="103"/>
      <c r="I22" s="103"/>
      <c r="J22" s="103"/>
      <c r="K22" s="103"/>
    </row>
    <row r="23" spans="5:11" x14ac:dyDescent="0.2">
      <c r="E23" t="s">
        <v>30</v>
      </c>
      <c r="G23" t="s">
        <v>31</v>
      </c>
      <c r="H23" t="s">
        <v>34</v>
      </c>
      <c r="I23" t="s">
        <v>10</v>
      </c>
    </row>
    <row r="24" spans="5:11" x14ac:dyDescent="0.2">
      <c r="E24" t="s">
        <v>27</v>
      </c>
      <c r="G24" t="s">
        <v>27</v>
      </c>
      <c r="H24" t="s">
        <v>27</v>
      </c>
      <c r="I24" t="s">
        <v>32</v>
      </c>
      <c r="K24" t="s">
        <v>33</v>
      </c>
    </row>
    <row r="25" spans="5:11" x14ac:dyDescent="0.2">
      <c r="E25" t="s">
        <v>27</v>
      </c>
      <c r="G25" t="s">
        <v>27</v>
      </c>
      <c r="H25" t="s">
        <v>35</v>
      </c>
      <c r="I25" t="s">
        <v>37</v>
      </c>
      <c r="K25" t="s">
        <v>39</v>
      </c>
    </row>
    <row r="26" spans="5:11" x14ac:dyDescent="0.2">
      <c r="E26" t="s">
        <v>27</v>
      </c>
      <c r="G26" t="s">
        <v>27</v>
      </c>
      <c r="H26" t="s">
        <v>36</v>
      </c>
      <c r="I26" t="s">
        <v>38</v>
      </c>
      <c r="K26" t="s">
        <v>40</v>
      </c>
    </row>
    <row r="27" spans="5:11" x14ac:dyDescent="0.2">
      <c r="E27" t="s">
        <v>41</v>
      </c>
      <c r="G27" t="s">
        <v>42</v>
      </c>
    </row>
    <row r="29" spans="5:11" ht="19" x14ac:dyDescent="0.2">
      <c r="E29" s="103" t="s">
        <v>26</v>
      </c>
      <c r="F29" s="103"/>
      <c r="G29" s="103"/>
      <c r="H29" s="103"/>
      <c r="I29" s="103"/>
      <c r="J29" s="103"/>
      <c r="K29" s="103"/>
    </row>
  </sheetData>
  <mergeCells count="7">
    <mergeCell ref="E22:K22"/>
    <mergeCell ref="E29:K29"/>
    <mergeCell ref="E1:K1"/>
    <mergeCell ref="E2:K2"/>
    <mergeCell ref="E3:K3"/>
    <mergeCell ref="E4:K4"/>
    <mergeCell ref="E6:K6"/>
  </mergeCells>
  <pageMargins left="0.7" right="0.7" top="0.75" bottom="0.75" header="0.3" footer="0.3"/>
  <headerFooter>
    <oddFooter>&amp;R_x000D_&amp;1#&amp;"Aptos"&amp;8&amp;K000000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A42B-3DF6-1443-9277-E3B5CA881A2B}">
  <sheetPr codeName="Sheet3"/>
  <dimension ref="A1:J61"/>
  <sheetViews>
    <sheetView zoomScale="150" zoomScaleNormal="150" workbookViewId="0">
      <selection activeCell="A19" sqref="A19"/>
    </sheetView>
  </sheetViews>
  <sheetFormatPr baseColWidth="10" defaultRowHeight="15" x14ac:dyDescent="0.2"/>
  <cols>
    <col min="1" max="1" width="16.83203125" customWidth="1"/>
    <col min="2" max="2" width="20.83203125" customWidth="1"/>
    <col min="3" max="3" width="17.5" customWidth="1"/>
    <col min="4" max="4" width="21.6640625" customWidth="1"/>
  </cols>
  <sheetData>
    <row r="1" spans="1:10" x14ac:dyDescent="0.2">
      <c r="A1" t="s">
        <v>86</v>
      </c>
      <c r="C1" t="s">
        <v>75</v>
      </c>
      <c r="G1" t="s">
        <v>76</v>
      </c>
      <c r="H1" t="s">
        <v>94</v>
      </c>
      <c r="J1" t="s">
        <v>98</v>
      </c>
    </row>
    <row r="2" spans="1:10" x14ac:dyDescent="0.2">
      <c r="A2" t="s">
        <v>11</v>
      </c>
      <c r="C2" t="s">
        <v>12</v>
      </c>
      <c r="D2" t="str">
        <f>_xlfn.TEXTJOIN(" - ",TRUE, A2,C2)</f>
        <v>prod_csc_us-east-1_1_0 - MIAMI-2</v>
      </c>
      <c r="G2" t="s">
        <v>77</v>
      </c>
      <c r="H2" t="s">
        <v>95</v>
      </c>
      <c r="J2" t="s">
        <v>99</v>
      </c>
    </row>
    <row r="3" spans="1:10" x14ac:dyDescent="0.2">
      <c r="A3" t="s">
        <v>14</v>
      </c>
      <c r="C3" t="s">
        <v>13</v>
      </c>
      <c r="D3" t="str">
        <f t="shared" ref="D3:D9" si="0">_xlfn.TEXTJOIN(" - ",TRUE, A3,C3)</f>
        <v>prod_csc_us-east-1_1_1 - RESTON-1</v>
      </c>
      <c r="G3" t="s">
        <v>78</v>
      </c>
      <c r="H3" t="s">
        <v>96</v>
      </c>
      <c r="J3" t="s">
        <v>100</v>
      </c>
    </row>
    <row r="4" spans="1:10" x14ac:dyDescent="0.2">
      <c r="A4" t="s">
        <v>17</v>
      </c>
      <c r="C4" t="s">
        <v>16</v>
      </c>
      <c r="D4" t="str">
        <f t="shared" si="0"/>
        <v>prod_csc_us-west-1_1_0 - LOSANGELES-2</v>
      </c>
      <c r="H4" t="s">
        <v>97</v>
      </c>
      <c r="J4" t="s">
        <v>101</v>
      </c>
    </row>
    <row r="5" spans="1:10" x14ac:dyDescent="0.2">
      <c r="A5" t="s">
        <v>19</v>
      </c>
      <c r="C5" t="s">
        <v>18</v>
      </c>
      <c r="D5" t="str">
        <f t="shared" si="0"/>
        <v>prod_csc_us-west-1_1_1 - SANJOSE-6</v>
      </c>
      <c r="J5" t="s">
        <v>102</v>
      </c>
    </row>
    <row r="6" spans="1:10" x14ac:dyDescent="0.2">
      <c r="A6" t="s">
        <v>24</v>
      </c>
      <c r="C6" t="s">
        <v>20</v>
      </c>
      <c r="D6" t="str">
        <f t="shared" si="0"/>
        <v>prod_aws_us-east-2_1_0 - COLUMBUS-1</v>
      </c>
      <c r="J6" t="s">
        <v>103</v>
      </c>
    </row>
    <row r="7" spans="1:10" x14ac:dyDescent="0.2">
      <c r="A7" t="s">
        <v>25</v>
      </c>
      <c r="C7" t="s">
        <v>21</v>
      </c>
      <c r="D7" t="str">
        <f t="shared" si="0"/>
        <v>prod_aws_us-east-2_1_1 - COLUMBUS-2</v>
      </c>
      <c r="J7" t="s">
        <v>104</v>
      </c>
    </row>
    <row r="8" spans="1:10" x14ac:dyDescent="0.2">
      <c r="A8" t="s">
        <v>46</v>
      </c>
      <c r="C8" t="s">
        <v>44</v>
      </c>
      <c r="D8" t="str">
        <f t="shared" si="0"/>
        <v>prod_aws_us-west-2_1_0 - PORTLAND-1</v>
      </c>
      <c r="J8" t="s">
        <v>113</v>
      </c>
    </row>
    <row r="9" spans="1:10" x14ac:dyDescent="0.2">
      <c r="A9" t="s">
        <v>47</v>
      </c>
      <c r="C9" t="s">
        <v>45</v>
      </c>
      <c r="D9" t="str">
        <f t="shared" si="0"/>
        <v>prod_aws_us-west-2_1_1 - PORTLAND-2</v>
      </c>
    </row>
    <row r="18" spans="1:5" x14ac:dyDescent="0.2">
      <c r="A18" t="s">
        <v>82</v>
      </c>
    </row>
    <row r="19" spans="1:5" ht="16" x14ac:dyDescent="0.25">
      <c r="A19" t="str" cm="1">
        <f t="array" ref="A19:D19">_xlfn.TEXTSPLIT(IPSEC_BGP_XE_CONFIG!C56, ".")</f>
        <v>10</v>
      </c>
      <c r="B19" t="str">
        <v>7</v>
      </c>
      <c r="C19" t="str">
        <v>15</v>
      </c>
      <c r="D19" t="str">
        <v>32</v>
      </c>
      <c r="E19" s="18" t="str">
        <f>_xlfn.TEXTJOIN(".", TRUE,A19,B19,C19,D19 )</f>
        <v>10.7.15.32</v>
      </c>
    </row>
    <row r="20" spans="1:5" ht="16" x14ac:dyDescent="0.25">
      <c r="A20" t="str">
        <f>A19</f>
        <v>10</v>
      </c>
      <c r="B20" t="str">
        <f>B19</f>
        <v>7</v>
      </c>
      <c r="C20" t="str">
        <f>C19</f>
        <v>15</v>
      </c>
      <c r="D20" s="19">
        <f>D19+1</f>
        <v>33</v>
      </c>
      <c r="E20" s="18" t="str">
        <f t="shared" ref="E20:E38" si="1">_xlfn.TEXTJOIN(".", TRUE,A20,B20,C20,D20 )</f>
        <v>10.7.15.33</v>
      </c>
    </row>
    <row r="21" spans="1:5" ht="16" x14ac:dyDescent="0.25">
      <c r="A21" t="str">
        <f t="shared" ref="A21:A39" si="2">A20</f>
        <v>10</v>
      </c>
      <c r="B21" t="str">
        <f t="shared" ref="B21:B39" si="3">B20</f>
        <v>7</v>
      </c>
      <c r="C21" t="str">
        <f t="shared" ref="C21:C39" si="4">C20</f>
        <v>15</v>
      </c>
      <c r="D21" s="19">
        <f t="shared" ref="D21:D39" si="5">D20+1</f>
        <v>34</v>
      </c>
      <c r="E21" s="18" t="str">
        <f t="shared" si="1"/>
        <v>10.7.15.34</v>
      </c>
    </row>
    <row r="22" spans="1:5" ht="16" x14ac:dyDescent="0.25">
      <c r="A22" t="str">
        <f t="shared" si="2"/>
        <v>10</v>
      </c>
      <c r="B22" t="str">
        <f t="shared" si="3"/>
        <v>7</v>
      </c>
      <c r="C22" t="str">
        <f t="shared" si="4"/>
        <v>15</v>
      </c>
      <c r="D22" s="19">
        <f t="shared" si="5"/>
        <v>35</v>
      </c>
      <c r="E22" s="18" t="str">
        <f t="shared" si="1"/>
        <v>10.7.15.35</v>
      </c>
    </row>
    <row r="23" spans="1:5" ht="16" x14ac:dyDescent="0.25">
      <c r="A23" t="str">
        <f t="shared" si="2"/>
        <v>10</v>
      </c>
      <c r="B23" t="str">
        <f t="shared" si="3"/>
        <v>7</v>
      </c>
      <c r="C23" t="str">
        <f t="shared" si="4"/>
        <v>15</v>
      </c>
      <c r="D23" s="19">
        <f t="shared" si="5"/>
        <v>36</v>
      </c>
      <c r="E23" s="18" t="str">
        <f t="shared" si="1"/>
        <v>10.7.15.36</v>
      </c>
    </row>
    <row r="24" spans="1:5" ht="16" x14ac:dyDescent="0.25">
      <c r="A24" t="str">
        <f t="shared" si="2"/>
        <v>10</v>
      </c>
      <c r="B24" t="str">
        <f t="shared" si="3"/>
        <v>7</v>
      </c>
      <c r="C24" t="str">
        <f t="shared" si="4"/>
        <v>15</v>
      </c>
      <c r="D24" s="19">
        <f t="shared" si="5"/>
        <v>37</v>
      </c>
      <c r="E24" s="18" t="str">
        <f t="shared" si="1"/>
        <v>10.7.15.37</v>
      </c>
    </row>
    <row r="25" spans="1:5" ht="16" x14ac:dyDescent="0.25">
      <c r="A25" t="str">
        <f t="shared" si="2"/>
        <v>10</v>
      </c>
      <c r="B25" t="str">
        <f t="shared" si="3"/>
        <v>7</v>
      </c>
      <c r="C25" t="str">
        <f t="shared" si="4"/>
        <v>15</v>
      </c>
      <c r="D25" s="19">
        <f t="shared" si="5"/>
        <v>38</v>
      </c>
      <c r="E25" s="18" t="str">
        <f t="shared" si="1"/>
        <v>10.7.15.38</v>
      </c>
    </row>
    <row r="26" spans="1:5" ht="16" x14ac:dyDescent="0.25">
      <c r="A26" t="str">
        <f t="shared" si="2"/>
        <v>10</v>
      </c>
      <c r="B26" t="str">
        <f t="shared" si="3"/>
        <v>7</v>
      </c>
      <c r="C26" t="str">
        <f t="shared" si="4"/>
        <v>15</v>
      </c>
      <c r="D26" s="19">
        <f t="shared" si="5"/>
        <v>39</v>
      </c>
      <c r="E26" s="18" t="str">
        <f t="shared" si="1"/>
        <v>10.7.15.39</v>
      </c>
    </row>
    <row r="27" spans="1:5" ht="16" x14ac:dyDescent="0.25">
      <c r="A27" t="str">
        <f t="shared" si="2"/>
        <v>10</v>
      </c>
      <c r="B27" t="str">
        <f t="shared" si="3"/>
        <v>7</v>
      </c>
      <c r="C27" t="str">
        <f t="shared" si="4"/>
        <v>15</v>
      </c>
      <c r="D27" s="19">
        <f t="shared" si="5"/>
        <v>40</v>
      </c>
      <c r="E27" s="18" t="str">
        <f t="shared" si="1"/>
        <v>10.7.15.40</v>
      </c>
    </row>
    <row r="28" spans="1:5" ht="16" x14ac:dyDescent="0.25">
      <c r="A28" t="str">
        <f t="shared" si="2"/>
        <v>10</v>
      </c>
      <c r="B28" t="str">
        <f t="shared" si="3"/>
        <v>7</v>
      </c>
      <c r="C28" t="str">
        <f t="shared" si="4"/>
        <v>15</v>
      </c>
      <c r="D28" s="19">
        <f t="shared" si="5"/>
        <v>41</v>
      </c>
      <c r="E28" s="18" t="str">
        <f t="shared" si="1"/>
        <v>10.7.15.41</v>
      </c>
    </row>
    <row r="29" spans="1:5" ht="16" x14ac:dyDescent="0.25">
      <c r="A29" t="str">
        <f t="shared" si="2"/>
        <v>10</v>
      </c>
      <c r="B29" t="str">
        <f t="shared" si="3"/>
        <v>7</v>
      </c>
      <c r="C29" t="str">
        <f t="shared" si="4"/>
        <v>15</v>
      </c>
      <c r="D29" s="19">
        <f t="shared" si="5"/>
        <v>42</v>
      </c>
      <c r="E29" s="18" t="str">
        <f t="shared" si="1"/>
        <v>10.7.15.42</v>
      </c>
    </row>
    <row r="30" spans="1:5" ht="16" x14ac:dyDescent="0.25">
      <c r="A30" t="str">
        <f t="shared" si="2"/>
        <v>10</v>
      </c>
      <c r="B30" t="str">
        <f t="shared" si="3"/>
        <v>7</v>
      </c>
      <c r="C30" t="str">
        <f t="shared" si="4"/>
        <v>15</v>
      </c>
      <c r="D30" s="19">
        <f t="shared" si="5"/>
        <v>43</v>
      </c>
      <c r="E30" s="18" t="str">
        <f t="shared" si="1"/>
        <v>10.7.15.43</v>
      </c>
    </row>
    <row r="31" spans="1:5" ht="16" x14ac:dyDescent="0.25">
      <c r="A31" t="str">
        <f t="shared" si="2"/>
        <v>10</v>
      </c>
      <c r="B31" t="str">
        <f t="shared" si="3"/>
        <v>7</v>
      </c>
      <c r="C31" t="str">
        <f t="shared" si="4"/>
        <v>15</v>
      </c>
      <c r="D31" s="19">
        <f t="shared" si="5"/>
        <v>44</v>
      </c>
      <c r="E31" s="18" t="str">
        <f t="shared" si="1"/>
        <v>10.7.15.44</v>
      </c>
    </row>
    <row r="32" spans="1:5" ht="16" x14ac:dyDescent="0.25">
      <c r="A32" t="str">
        <f t="shared" si="2"/>
        <v>10</v>
      </c>
      <c r="B32" t="str">
        <f t="shared" si="3"/>
        <v>7</v>
      </c>
      <c r="C32" t="str">
        <f t="shared" si="4"/>
        <v>15</v>
      </c>
      <c r="D32" s="19">
        <f t="shared" si="5"/>
        <v>45</v>
      </c>
      <c r="E32" s="18" t="str">
        <f t="shared" si="1"/>
        <v>10.7.15.45</v>
      </c>
    </row>
    <row r="33" spans="1:5" ht="16" x14ac:dyDescent="0.25">
      <c r="A33" t="str">
        <f t="shared" si="2"/>
        <v>10</v>
      </c>
      <c r="B33" t="str">
        <f t="shared" si="3"/>
        <v>7</v>
      </c>
      <c r="C33" t="str">
        <f t="shared" si="4"/>
        <v>15</v>
      </c>
      <c r="D33" s="19">
        <f t="shared" si="5"/>
        <v>46</v>
      </c>
      <c r="E33" s="18" t="str">
        <f t="shared" si="1"/>
        <v>10.7.15.46</v>
      </c>
    </row>
    <row r="34" spans="1:5" ht="16" x14ac:dyDescent="0.25">
      <c r="A34" t="str">
        <f t="shared" si="2"/>
        <v>10</v>
      </c>
      <c r="B34" t="str">
        <f t="shared" si="3"/>
        <v>7</v>
      </c>
      <c r="C34" t="str">
        <f t="shared" si="4"/>
        <v>15</v>
      </c>
      <c r="D34" s="19">
        <f t="shared" si="5"/>
        <v>47</v>
      </c>
      <c r="E34" s="18" t="str">
        <f t="shared" si="1"/>
        <v>10.7.15.47</v>
      </c>
    </row>
    <row r="35" spans="1:5" ht="16" x14ac:dyDescent="0.25">
      <c r="A35" t="str">
        <f t="shared" si="2"/>
        <v>10</v>
      </c>
      <c r="B35" t="str">
        <f t="shared" si="3"/>
        <v>7</v>
      </c>
      <c r="C35" t="str">
        <f t="shared" si="4"/>
        <v>15</v>
      </c>
      <c r="D35" s="19">
        <f t="shared" si="5"/>
        <v>48</v>
      </c>
      <c r="E35" s="18" t="str">
        <f t="shared" si="1"/>
        <v>10.7.15.48</v>
      </c>
    </row>
    <row r="36" spans="1:5" ht="16" x14ac:dyDescent="0.25">
      <c r="A36" t="str">
        <f t="shared" si="2"/>
        <v>10</v>
      </c>
      <c r="B36" t="str">
        <f t="shared" si="3"/>
        <v>7</v>
      </c>
      <c r="C36" t="str">
        <f t="shared" si="4"/>
        <v>15</v>
      </c>
      <c r="D36" s="19">
        <f t="shared" si="5"/>
        <v>49</v>
      </c>
      <c r="E36" s="18" t="str">
        <f t="shared" si="1"/>
        <v>10.7.15.49</v>
      </c>
    </row>
    <row r="37" spans="1:5" ht="16" x14ac:dyDescent="0.25">
      <c r="A37" t="str">
        <f t="shared" si="2"/>
        <v>10</v>
      </c>
      <c r="B37" t="str">
        <f t="shared" si="3"/>
        <v>7</v>
      </c>
      <c r="C37" t="str">
        <f t="shared" si="4"/>
        <v>15</v>
      </c>
      <c r="D37" s="19">
        <f t="shared" si="5"/>
        <v>50</v>
      </c>
      <c r="E37" s="18" t="str">
        <f t="shared" si="1"/>
        <v>10.7.15.50</v>
      </c>
    </row>
    <row r="38" spans="1:5" ht="16" x14ac:dyDescent="0.25">
      <c r="A38" t="str">
        <f t="shared" si="2"/>
        <v>10</v>
      </c>
      <c r="B38" t="str">
        <f t="shared" si="3"/>
        <v>7</v>
      </c>
      <c r="C38" t="str">
        <f t="shared" si="4"/>
        <v>15</v>
      </c>
      <c r="D38" s="19">
        <f t="shared" si="5"/>
        <v>51</v>
      </c>
      <c r="E38" s="18" t="str">
        <f t="shared" si="1"/>
        <v>10.7.15.51</v>
      </c>
    </row>
    <row r="39" spans="1:5" ht="16" x14ac:dyDescent="0.25">
      <c r="A39" t="str">
        <f t="shared" si="2"/>
        <v>10</v>
      </c>
      <c r="B39" t="str">
        <f t="shared" si="3"/>
        <v>7</v>
      </c>
      <c r="C39" t="str">
        <f t="shared" si="4"/>
        <v>15</v>
      </c>
      <c r="D39" s="19">
        <f t="shared" si="5"/>
        <v>52</v>
      </c>
      <c r="E39" s="18" t="str">
        <f>_xlfn.TEXTJOIN(".", TRUE,A39,B39,C39,D39 )</f>
        <v>10.7.15.52</v>
      </c>
    </row>
    <row r="40" spans="1:5" ht="16" x14ac:dyDescent="0.25">
      <c r="E40" s="18" t="str">
        <f t="shared" ref="E40:E61" si="6">_xlfn.TEXTJOIN(".", TRUE,A40,B40,C40,D40 )</f>
        <v/>
      </c>
    </row>
    <row r="41" spans="1:5" ht="16" x14ac:dyDescent="0.25">
      <c r="E41" s="18" t="str">
        <f t="shared" si="6"/>
        <v/>
      </c>
    </row>
    <row r="42" spans="1:5" ht="16" x14ac:dyDescent="0.25">
      <c r="A42" t="str" cm="1">
        <f t="array" ref="A42:D42">_xlfn.TEXTSPLIT(IPSEC_BGP_XE_CONFIG!C35, ".")</f>
        <v>10</v>
      </c>
      <c r="B42" t="str">
        <v>7</v>
      </c>
      <c r="C42" t="str">
        <v>15</v>
      </c>
      <c r="D42" t="str">
        <v>64</v>
      </c>
      <c r="E42" s="18" t="str">
        <f t="shared" si="6"/>
        <v>10.7.15.64</v>
      </c>
    </row>
    <row r="43" spans="1:5" ht="16" x14ac:dyDescent="0.25">
      <c r="A43" t="str">
        <f>A42</f>
        <v>10</v>
      </c>
      <c r="B43" t="str">
        <f>B42</f>
        <v>7</v>
      </c>
      <c r="C43" t="str">
        <f>C42</f>
        <v>15</v>
      </c>
      <c r="D43" s="19">
        <f>D42+1</f>
        <v>65</v>
      </c>
      <c r="E43" s="18" t="str">
        <f t="shared" si="6"/>
        <v>10.7.15.65</v>
      </c>
    </row>
    <row r="44" spans="1:5" ht="16" x14ac:dyDescent="0.25">
      <c r="A44" t="str">
        <f t="shared" ref="A44:A61" si="7">A43</f>
        <v>10</v>
      </c>
      <c r="B44" t="str">
        <f t="shared" ref="B44:B61" si="8">B43</f>
        <v>7</v>
      </c>
      <c r="C44" t="str">
        <f t="shared" ref="C44:C61" si="9">C43</f>
        <v>15</v>
      </c>
      <c r="D44" s="19">
        <f t="shared" ref="D44:D61" si="10">D43+1</f>
        <v>66</v>
      </c>
      <c r="E44" s="18" t="str">
        <f t="shared" si="6"/>
        <v>10.7.15.66</v>
      </c>
    </row>
    <row r="45" spans="1:5" ht="16" x14ac:dyDescent="0.25">
      <c r="A45" t="str">
        <f t="shared" si="7"/>
        <v>10</v>
      </c>
      <c r="B45" t="str">
        <f t="shared" si="8"/>
        <v>7</v>
      </c>
      <c r="C45" t="str">
        <f t="shared" si="9"/>
        <v>15</v>
      </c>
      <c r="D45" s="19">
        <f t="shared" si="10"/>
        <v>67</v>
      </c>
      <c r="E45" s="18" t="str">
        <f t="shared" si="6"/>
        <v>10.7.15.67</v>
      </c>
    </row>
    <row r="46" spans="1:5" ht="16" x14ac:dyDescent="0.25">
      <c r="A46" t="str">
        <f t="shared" si="7"/>
        <v>10</v>
      </c>
      <c r="B46" t="str">
        <f t="shared" si="8"/>
        <v>7</v>
      </c>
      <c r="C46" t="str">
        <f t="shared" si="9"/>
        <v>15</v>
      </c>
      <c r="D46" s="19">
        <f t="shared" si="10"/>
        <v>68</v>
      </c>
      <c r="E46" s="18" t="str">
        <f t="shared" si="6"/>
        <v>10.7.15.68</v>
      </c>
    </row>
    <row r="47" spans="1:5" ht="16" x14ac:dyDescent="0.25">
      <c r="A47" t="str">
        <f t="shared" si="7"/>
        <v>10</v>
      </c>
      <c r="B47" t="str">
        <f t="shared" si="8"/>
        <v>7</v>
      </c>
      <c r="C47" t="str">
        <f t="shared" si="9"/>
        <v>15</v>
      </c>
      <c r="D47" s="19">
        <f t="shared" si="10"/>
        <v>69</v>
      </c>
      <c r="E47" s="18" t="str">
        <f t="shared" si="6"/>
        <v>10.7.15.69</v>
      </c>
    </row>
    <row r="48" spans="1:5" ht="16" x14ac:dyDescent="0.25">
      <c r="A48" t="str">
        <f t="shared" si="7"/>
        <v>10</v>
      </c>
      <c r="B48" t="str">
        <f t="shared" si="8"/>
        <v>7</v>
      </c>
      <c r="C48" t="str">
        <f t="shared" si="9"/>
        <v>15</v>
      </c>
      <c r="D48" s="19">
        <f t="shared" si="10"/>
        <v>70</v>
      </c>
      <c r="E48" s="18" t="str">
        <f t="shared" si="6"/>
        <v>10.7.15.70</v>
      </c>
    </row>
    <row r="49" spans="1:5" ht="16" x14ac:dyDescent="0.25">
      <c r="A49" t="str">
        <f t="shared" si="7"/>
        <v>10</v>
      </c>
      <c r="B49" t="str">
        <f t="shared" si="8"/>
        <v>7</v>
      </c>
      <c r="C49" t="str">
        <f t="shared" si="9"/>
        <v>15</v>
      </c>
      <c r="D49" s="19">
        <f t="shared" si="10"/>
        <v>71</v>
      </c>
      <c r="E49" s="18" t="str">
        <f t="shared" si="6"/>
        <v>10.7.15.71</v>
      </c>
    </row>
    <row r="50" spans="1:5" ht="16" x14ac:dyDescent="0.25">
      <c r="A50" t="str">
        <f t="shared" si="7"/>
        <v>10</v>
      </c>
      <c r="B50" t="str">
        <f t="shared" si="8"/>
        <v>7</v>
      </c>
      <c r="C50" t="str">
        <f t="shared" si="9"/>
        <v>15</v>
      </c>
      <c r="D50" s="19">
        <f t="shared" si="10"/>
        <v>72</v>
      </c>
      <c r="E50" s="18" t="str">
        <f t="shared" si="6"/>
        <v>10.7.15.72</v>
      </c>
    </row>
    <row r="51" spans="1:5" ht="16" x14ac:dyDescent="0.25">
      <c r="A51" t="str">
        <f t="shared" si="7"/>
        <v>10</v>
      </c>
      <c r="B51" t="str">
        <f t="shared" si="8"/>
        <v>7</v>
      </c>
      <c r="C51" t="str">
        <f t="shared" si="9"/>
        <v>15</v>
      </c>
      <c r="D51" s="19">
        <f t="shared" si="10"/>
        <v>73</v>
      </c>
      <c r="E51" s="18" t="str">
        <f t="shared" si="6"/>
        <v>10.7.15.73</v>
      </c>
    </row>
    <row r="52" spans="1:5" ht="16" x14ac:dyDescent="0.25">
      <c r="A52" t="str">
        <f t="shared" si="7"/>
        <v>10</v>
      </c>
      <c r="B52" t="str">
        <f t="shared" si="8"/>
        <v>7</v>
      </c>
      <c r="C52" t="str">
        <f t="shared" si="9"/>
        <v>15</v>
      </c>
      <c r="D52" s="19">
        <f t="shared" si="10"/>
        <v>74</v>
      </c>
      <c r="E52" s="18" t="str">
        <f t="shared" si="6"/>
        <v>10.7.15.74</v>
      </c>
    </row>
    <row r="53" spans="1:5" ht="16" x14ac:dyDescent="0.25">
      <c r="A53" t="str">
        <f t="shared" si="7"/>
        <v>10</v>
      </c>
      <c r="B53" t="str">
        <f t="shared" si="8"/>
        <v>7</v>
      </c>
      <c r="C53" t="str">
        <f t="shared" si="9"/>
        <v>15</v>
      </c>
      <c r="D53" s="19">
        <f t="shared" si="10"/>
        <v>75</v>
      </c>
      <c r="E53" s="18" t="str">
        <f t="shared" si="6"/>
        <v>10.7.15.75</v>
      </c>
    </row>
    <row r="54" spans="1:5" ht="16" x14ac:dyDescent="0.25">
      <c r="A54" t="str">
        <f t="shared" si="7"/>
        <v>10</v>
      </c>
      <c r="B54" t="str">
        <f t="shared" si="8"/>
        <v>7</v>
      </c>
      <c r="C54" t="str">
        <f t="shared" si="9"/>
        <v>15</v>
      </c>
      <c r="D54" s="19">
        <f t="shared" si="10"/>
        <v>76</v>
      </c>
      <c r="E54" s="18" t="str">
        <f t="shared" si="6"/>
        <v>10.7.15.76</v>
      </c>
    </row>
    <row r="55" spans="1:5" ht="16" x14ac:dyDescent="0.25">
      <c r="A55" t="str">
        <f t="shared" si="7"/>
        <v>10</v>
      </c>
      <c r="B55" t="str">
        <f t="shared" si="8"/>
        <v>7</v>
      </c>
      <c r="C55" t="str">
        <f t="shared" si="9"/>
        <v>15</v>
      </c>
      <c r="D55" s="19">
        <f t="shared" si="10"/>
        <v>77</v>
      </c>
      <c r="E55" s="18" t="str">
        <f t="shared" si="6"/>
        <v>10.7.15.77</v>
      </c>
    </row>
    <row r="56" spans="1:5" ht="16" x14ac:dyDescent="0.25">
      <c r="A56" t="str">
        <f t="shared" si="7"/>
        <v>10</v>
      </c>
      <c r="B56" t="str">
        <f t="shared" si="8"/>
        <v>7</v>
      </c>
      <c r="C56" t="str">
        <f t="shared" si="9"/>
        <v>15</v>
      </c>
      <c r="D56" s="19">
        <f t="shared" si="10"/>
        <v>78</v>
      </c>
      <c r="E56" s="18" t="str">
        <f t="shared" si="6"/>
        <v>10.7.15.78</v>
      </c>
    </row>
    <row r="57" spans="1:5" ht="16" x14ac:dyDescent="0.25">
      <c r="A57" t="str">
        <f t="shared" si="7"/>
        <v>10</v>
      </c>
      <c r="B57" t="str">
        <f t="shared" si="8"/>
        <v>7</v>
      </c>
      <c r="C57" t="str">
        <f t="shared" si="9"/>
        <v>15</v>
      </c>
      <c r="D57" s="19">
        <f t="shared" si="10"/>
        <v>79</v>
      </c>
      <c r="E57" s="18" t="str">
        <f t="shared" si="6"/>
        <v>10.7.15.79</v>
      </c>
    </row>
    <row r="58" spans="1:5" ht="16" x14ac:dyDescent="0.25">
      <c r="A58" t="str">
        <f t="shared" si="7"/>
        <v>10</v>
      </c>
      <c r="B58" t="str">
        <f t="shared" si="8"/>
        <v>7</v>
      </c>
      <c r="C58" t="str">
        <f t="shared" si="9"/>
        <v>15</v>
      </c>
      <c r="D58" s="19">
        <f t="shared" si="10"/>
        <v>80</v>
      </c>
      <c r="E58" s="18" t="str">
        <f t="shared" si="6"/>
        <v>10.7.15.80</v>
      </c>
    </row>
    <row r="59" spans="1:5" ht="16" x14ac:dyDescent="0.25">
      <c r="A59" t="str">
        <f t="shared" si="7"/>
        <v>10</v>
      </c>
      <c r="B59" t="str">
        <f t="shared" si="8"/>
        <v>7</v>
      </c>
      <c r="C59" t="str">
        <f t="shared" si="9"/>
        <v>15</v>
      </c>
      <c r="D59" s="19">
        <f t="shared" si="10"/>
        <v>81</v>
      </c>
      <c r="E59" s="18" t="str">
        <f t="shared" si="6"/>
        <v>10.7.15.81</v>
      </c>
    </row>
    <row r="60" spans="1:5" ht="16" x14ac:dyDescent="0.25">
      <c r="A60" t="str">
        <f t="shared" si="7"/>
        <v>10</v>
      </c>
      <c r="B60" t="str">
        <f t="shared" si="8"/>
        <v>7</v>
      </c>
      <c r="C60" t="str">
        <f t="shared" si="9"/>
        <v>15</v>
      </c>
      <c r="D60" s="19">
        <f t="shared" si="10"/>
        <v>82</v>
      </c>
      <c r="E60" s="18" t="str">
        <f t="shared" si="6"/>
        <v>10.7.15.82</v>
      </c>
    </row>
    <row r="61" spans="1:5" ht="16" x14ac:dyDescent="0.25">
      <c r="A61" t="str">
        <f t="shared" si="7"/>
        <v>10</v>
      </c>
      <c r="B61" t="str">
        <f t="shared" si="8"/>
        <v>7</v>
      </c>
      <c r="C61" t="str">
        <f t="shared" si="9"/>
        <v>15</v>
      </c>
      <c r="D61" s="19">
        <f t="shared" si="10"/>
        <v>83</v>
      </c>
      <c r="E61" s="18" t="str">
        <f t="shared" si="6"/>
        <v>10.7.15.83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1F62-E553-1C47-9687-E4183A4BBED2}">
  <dimension ref="A1:Q359"/>
  <sheetViews>
    <sheetView topLeftCell="A61" zoomScale="150" workbookViewId="0">
      <selection activeCell="J77" sqref="J77"/>
    </sheetView>
  </sheetViews>
  <sheetFormatPr baseColWidth="10" defaultRowHeight="15" x14ac:dyDescent="0.2"/>
  <cols>
    <col min="1" max="1" width="130" customWidth="1"/>
    <col min="2" max="2" width="13.5" customWidth="1"/>
    <col min="16" max="16" width="29.1640625" customWidth="1"/>
  </cols>
  <sheetData>
    <row r="1" spans="1:17" s="20" customFormat="1" ht="19" x14ac:dyDescent="0.25">
      <c r="A1" s="20" t="s">
        <v>216</v>
      </c>
      <c r="B1" s="20" t="s">
        <v>189</v>
      </c>
      <c r="L1" s="20" t="s">
        <v>190</v>
      </c>
    </row>
    <row r="2" spans="1:17" s="20" customFormat="1" ht="19" x14ac:dyDescent="0.25">
      <c r="L2" s="20" t="s">
        <v>197</v>
      </c>
      <c r="Q2" s="20" t="s">
        <v>217</v>
      </c>
    </row>
    <row r="3" spans="1:17" ht="20" x14ac:dyDescent="0.25">
      <c r="A3" s="26" t="s">
        <v>114</v>
      </c>
      <c r="B3" t="str" cm="1">
        <f t="array" ref="B3:E3">_xlfn.TEXTSPLIT(A3," ",)</f>
        <v>crypto</v>
      </c>
      <c r="C3" t="str">
        <v>ikev2</v>
      </c>
      <c r="D3" t="str">
        <v>proposal</v>
      </c>
      <c r="E3" t="str">
        <v>sse-proposal </v>
      </c>
      <c r="L3" t="str">
        <f>_xlfn.TEXTJOIN(" ",TRUE,B3,C3,D3,E3,F3,G3,H3,I3,J3)</f>
        <v>crypto ikev2 proposal sse-proposal </v>
      </c>
      <c r="Q3" t="str">
        <f>_xlfn.TEXTJOIN(" ",TRUE,B3,C3,D3,E3,F3,G3,H3,I3,J3)</f>
        <v>crypto ikev2 proposal sse-proposal </v>
      </c>
    </row>
    <row r="4" spans="1:17" ht="20" x14ac:dyDescent="0.25">
      <c r="A4" s="26" t="s">
        <v>115</v>
      </c>
      <c r="B4" t="str" cm="1">
        <f t="array" ref="B4:C4">_xlfn.TEXTSPLIT(A4," ",)</f>
        <v> encryption</v>
      </c>
      <c r="C4" t="str">
        <v>aes-gcm-256</v>
      </c>
      <c r="L4" t="str">
        <f t="shared" ref="L4:L99" si="0">_xlfn.TEXTJOIN(" ",TRUE,B4,C4,D4,E4,F4,G4,H4,I4,J4)</f>
        <v> encryption aes-gcm-256</v>
      </c>
      <c r="Q4" t="str">
        <f t="shared" ref="Q4:Q99" si="1">_xlfn.TEXTJOIN(" ",TRUE,B4,C4,D4,E4,F4,G4,H4,I4,J4)</f>
        <v> encryption aes-gcm-256</v>
      </c>
    </row>
    <row r="5" spans="1:17" ht="20" x14ac:dyDescent="0.25">
      <c r="A5" s="26" t="s">
        <v>116</v>
      </c>
      <c r="B5" t="str" cm="1">
        <f t="array" ref="B5:C5">_xlfn.TEXTSPLIT(A5," ",)</f>
        <v> prf</v>
      </c>
      <c r="C5" t="str">
        <v>sha256</v>
      </c>
      <c r="L5" t="str">
        <f t="shared" si="0"/>
        <v> prf sha256</v>
      </c>
      <c r="Q5" t="str">
        <f t="shared" si="1"/>
        <v> prf sha256</v>
      </c>
    </row>
    <row r="6" spans="1:17" ht="20" x14ac:dyDescent="0.25">
      <c r="A6" s="26" t="s">
        <v>187</v>
      </c>
      <c r="B6" t="str" cm="1">
        <f t="array" ref="B6:C6">_xlfn.TEXTSPLIT(A6," ",)</f>
        <v> group</v>
      </c>
      <c r="C6" t="str">
        <v>20</v>
      </c>
      <c r="L6" t="str">
        <f t="shared" si="0"/>
        <v> group 20</v>
      </c>
      <c r="Q6" t="str">
        <f t="shared" si="1"/>
        <v> group 20</v>
      </c>
    </row>
    <row r="7" spans="1:17" ht="20" x14ac:dyDescent="0.25">
      <c r="A7" s="26" t="s">
        <v>117</v>
      </c>
      <c r="B7" t="str" cm="1">
        <f t="array" ref="B7">_xlfn.TEXTSPLIT(A7," ",)</f>
        <v>!</v>
      </c>
      <c r="L7" t="str">
        <f t="shared" si="0"/>
        <v>!</v>
      </c>
      <c r="Q7" t="str">
        <f t="shared" si="1"/>
        <v>!</v>
      </c>
    </row>
    <row r="8" spans="1:17" ht="20" x14ac:dyDescent="0.25">
      <c r="A8" s="26" t="s">
        <v>118</v>
      </c>
      <c r="B8" t="str" cm="1">
        <f t="array" ref="B8:E8">_xlfn.TEXTSPLIT(A8," ",)</f>
        <v>crypto</v>
      </c>
      <c r="C8" t="str">
        <v>ikev2</v>
      </c>
      <c r="D8" t="str">
        <v>policy</v>
      </c>
      <c r="E8" t="str">
        <v>sse-policy </v>
      </c>
      <c r="L8" t="str">
        <f t="shared" si="0"/>
        <v>crypto ikev2 policy sse-policy </v>
      </c>
      <c r="Q8" t="str">
        <f t="shared" si="1"/>
        <v>crypto ikev2 policy sse-policy </v>
      </c>
    </row>
    <row r="9" spans="1:17" ht="20" x14ac:dyDescent="0.25">
      <c r="A9" s="26" t="s">
        <v>119</v>
      </c>
      <c r="B9" t="str" cm="1">
        <f t="array" ref="B9:C9">_xlfn.TEXTSPLIT(A9," ",)</f>
        <v> proposal</v>
      </c>
      <c r="C9" t="str">
        <v>sse-proposal</v>
      </c>
      <c r="L9" t="str">
        <f t="shared" si="0"/>
        <v> proposal sse-proposal</v>
      </c>
      <c r="Q9" t="str">
        <f t="shared" si="1"/>
        <v> proposal sse-proposal</v>
      </c>
    </row>
    <row r="10" spans="1:17" ht="20" x14ac:dyDescent="0.25">
      <c r="A10" s="26" t="s">
        <v>117</v>
      </c>
      <c r="B10" t="str" cm="1">
        <f t="array" ref="B10">_xlfn.TEXTSPLIT(A10," ",)</f>
        <v>!</v>
      </c>
      <c r="L10" t="str">
        <f t="shared" si="0"/>
        <v>!</v>
      </c>
      <c r="Q10" t="str">
        <f t="shared" si="1"/>
        <v>!</v>
      </c>
    </row>
    <row r="11" spans="1:17" ht="20" x14ac:dyDescent="0.25">
      <c r="A11" s="26" t="s">
        <v>120</v>
      </c>
      <c r="B11" t="str" cm="1">
        <f t="array" ref="B11:E11">_xlfn.TEXTSPLIT(A11," ",)</f>
        <v>crypto</v>
      </c>
      <c r="C11" t="str">
        <v>ikev2</v>
      </c>
      <c r="D11" t="str">
        <v>keyring</v>
      </c>
      <c r="E11" t="str">
        <v>sse-kr</v>
      </c>
      <c r="L11" t="str">
        <f t="shared" si="0"/>
        <v>crypto ikev2 keyring sse-kr</v>
      </c>
      <c r="Q11" t="str">
        <f t="shared" si="1"/>
        <v>crypto ikev2 keyring sse-kr</v>
      </c>
    </row>
    <row r="12" spans="1:17" ht="20" x14ac:dyDescent="0.25">
      <c r="A12" s="26" t="s">
        <v>121</v>
      </c>
      <c r="B12" t="str" cm="1">
        <f t="array" ref="B12:C12">_xlfn.TEXTSPLIT(A12," ",)</f>
        <v> peer</v>
      </c>
      <c r="C12" t="str">
        <v>sse-secondary</v>
      </c>
      <c r="L12" t="str">
        <f t="shared" si="0"/>
        <v> peer sse-secondary</v>
      </c>
      <c r="Q12" t="str">
        <f t="shared" si="1"/>
        <v> peer sse-secondary</v>
      </c>
    </row>
    <row r="13" spans="1:17" ht="20" x14ac:dyDescent="0.25">
      <c r="A13" s="26" t="s">
        <v>191</v>
      </c>
      <c r="B13" t="str" cm="1">
        <f t="array" ref="B13:D13">_xlfn.TEXTSPLIT(A13," ",)</f>
        <v> </v>
      </c>
      <c r="C13" t="str">
        <v>address</v>
      </c>
      <c r="D13" t="str">
        <v>X.X.X.X</v>
      </c>
      <c r="L13" t="str">
        <f>_xlfn.TEXTJOIN(" ",TRUE,B13,C13,IPSEC_BGP_XE_CONFIG!C12,E13,F13,G13,H13,I13,J13)</f>
        <v>  address 3.140.13.195</v>
      </c>
      <c r="Q13" t="str">
        <f>_xlfn.TEXTJOIN(" ",TRUE,B13,C13,IPSEC_BGP_XE_CONFIG!C24,E13,F13,G13,H13,I13,J13)</f>
        <v>  address 3.140.13.195</v>
      </c>
    </row>
    <row r="14" spans="1:17" ht="20" x14ac:dyDescent="0.25">
      <c r="A14" s="26" t="s">
        <v>192</v>
      </c>
      <c r="B14" t="str" cm="1">
        <f t="array" ref="B14:D14">_xlfn.TEXTSPLIT(A14," ",)</f>
        <v> </v>
      </c>
      <c r="C14" t="str">
        <v>pre-shared-key</v>
      </c>
      <c r="D14" t="str">
        <v>local</v>
      </c>
      <c r="L14" t="str">
        <f>_xlfn.TEXTJOIN(" ",TRUE,B14,C14,D14,IPSEC_BGP_XE_CONFIG!C32,F14,G14,H14,I14,J14)</f>
        <v>  pre-shared-key local ll0wN3t3ng123456</v>
      </c>
      <c r="Q14" t="str">
        <f>_xlfn.TEXTJOIN(" ",TRUE,B14,C14,D14,IPSEC_BGP_XE_CONFIG!C32,F14,G14,H14,I14,J14)</f>
        <v>  pre-shared-key local ll0wN3t3ng123456</v>
      </c>
    </row>
    <row r="15" spans="1:17" ht="20" x14ac:dyDescent="0.25">
      <c r="A15" s="26" t="s">
        <v>193</v>
      </c>
      <c r="B15" t="str" cm="1">
        <f t="array" ref="B15:D15">_xlfn.TEXTSPLIT(A15," ",)</f>
        <v> </v>
      </c>
      <c r="C15" t="str">
        <v>pre-shared-key</v>
      </c>
      <c r="D15" t="str">
        <v>remote</v>
      </c>
      <c r="L15" t="str">
        <f>_xlfn.TEXTJOIN(" ",TRUE,B15,C15,D15,IPSEC_BGP_XE_CONFIG!C32,F15,G15,H15,I15,J15)</f>
        <v>  pre-shared-key remote ll0wN3t3ng123456</v>
      </c>
      <c r="Q15" t="str">
        <f>_xlfn.TEXTJOIN(" ",TRUE,B15,C15,D15,IPSEC_BGP_XE_CONFIG!C32,F15,G15,H15,I15,J15)</f>
        <v>  pre-shared-key remote ll0wN3t3ng123456</v>
      </c>
    </row>
    <row r="16" spans="1:17" ht="20" x14ac:dyDescent="0.25">
      <c r="A16" s="26" t="s">
        <v>122</v>
      </c>
      <c r="B16" t="str" cm="1">
        <f t="array" ref="B16">_xlfn.TEXTSPLIT(A16," ",)</f>
        <v> !</v>
      </c>
      <c r="L16" t="str">
        <f t="shared" si="0"/>
        <v> !</v>
      </c>
      <c r="Q16" t="str">
        <f t="shared" si="1"/>
        <v> !</v>
      </c>
    </row>
    <row r="17" spans="1:17" ht="20" x14ac:dyDescent="0.25">
      <c r="A17" s="26" t="s">
        <v>123</v>
      </c>
      <c r="B17" t="str" cm="1">
        <f t="array" ref="B17:C17">_xlfn.TEXTSPLIT(A17," ",)</f>
        <v> peer</v>
      </c>
      <c r="C17" t="str">
        <v>sse-primary</v>
      </c>
      <c r="L17" t="str">
        <f t="shared" si="0"/>
        <v> peer sse-primary</v>
      </c>
      <c r="Q17" t="str">
        <f t="shared" si="1"/>
        <v> peer sse-primary</v>
      </c>
    </row>
    <row r="18" spans="1:17" ht="20" x14ac:dyDescent="0.25">
      <c r="A18" s="26" t="s">
        <v>191</v>
      </c>
      <c r="B18" t="str" cm="1">
        <f t="array" ref="B18:D18">_xlfn.TEXTSPLIT(A18," ",)</f>
        <v> </v>
      </c>
      <c r="C18" t="str">
        <v>address</v>
      </c>
      <c r="D18" t="str">
        <v>X.X.X.X</v>
      </c>
      <c r="L18" t="str">
        <f>_xlfn.TEXTJOIN(" ",TRUE,B18,C18,IPSEC_BGP_XE_CONFIG!C8,E18,F18,G18,H18,I18,J18)</f>
        <v>  address 3.141.141.165</v>
      </c>
      <c r="Q18" t="str">
        <f>_xlfn.TEXTJOIN(" ",TRUE,B18,C18,IPSEC_BGP_XE_CONFIG!C20,E18,F18,G18,H18,I18,J18)</f>
        <v>  address 3.141.141.165</v>
      </c>
    </row>
    <row r="19" spans="1:17" ht="20" x14ac:dyDescent="0.25">
      <c r="A19" s="26" t="s">
        <v>192</v>
      </c>
      <c r="B19" t="str" cm="1">
        <f t="array" ref="B19:D19">_xlfn.TEXTSPLIT(A19," ",)</f>
        <v> </v>
      </c>
      <c r="C19" t="str">
        <v>pre-shared-key</v>
      </c>
      <c r="D19" t="str">
        <v>local</v>
      </c>
      <c r="L19" t="str">
        <f>_xlfn.TEXTJOIN(" ",TRUE,B19,C19,D19,IPSEC_BGP_XE_CONFIG!C32,F19,G19,H19,I19,J19)</f>
        <v>  pre-shared-key local ll0wN3t3ng123456</v>
      </c>
      <c r="Q19" t="str">
        <f>_xlfn.TEXTJOIN(" ",TRUE,B19,C19,D19,IPSEC_BGP_XE_CONFIG!C32,F19,G19,H19,I19,J19)</f>
        <v>  pre-shared-key local ll0wN3t3ng123456</v>
      </c>
    </row>
    <row r="20" spans="1:17" ht="20" x14ac:dyDescent="0.25">
      <c r="A20" s="26" t="s">
        <v>193</v>
      </c>
      <c r="B20" t="str" cm="1">
        <f t="array" ref="B20:D20">_xlfn.TEXTSPLIT(A20," ",)</f>
        <v> </v>
      </c>
      <c r="C20" t="str">
        <v>pre-shared-key</v>
      </c>
      <c r="D20" t="str">
        <v>remote</v>
      </c>
      <c r="L20" t="str">
        <f>_xlfn.TEXTJOIN(" ",TRUE,B20,C20,D20,IPSEC_BGP_XE_CONFIG!C32,F20,G20,H20,I20,J20)</f>
        <v>  pre-shared-key remote ll0wN3t3ng123456</v>
      </c>
      <c r="Q20" t="str">
        <f>_xlfn.TEXTJOIN(" ",TRUE,B20,C20,D20,IPSEC_BGP_XE_CONFIG!C32,F20,G20,H20,I20,J20)</f>
        <v>  pre-shared-key remote ll0wN3t3ng123456</v>
      </c>
    </row>
    <row r="21" spans="1:17" ht="20" x14ac:dyDescent="0.25">
      <c r="A21" s="26" t="s">
        <v>122</v>
      </c>
      <c r="B21" t="str" cm="1">
        <f t="array" ref="B21">_xlfn.TEXTSPLIT(A21," ",)</f>
        <v> !</v>
      </c>
      <c r="L21" t="str">
        <f t="shared" si="0"/>
        <v> !</v>
      </c>
      <c r="Q21" t="str">
        <f t="shared" si="1"/>
        <v> !</v>
      </c>
    </row>
    <row r="22" spans="1:17" ht="20" x14ac:dyDescent="0.25">
      <c r="A22" s="26" t="s">
        <v>117</v>
      </c>
      <c r="B22" t="str" cm="1">
        <f t="array" ref="B22">_xlfn.TEXTSPLIT(A22," ",)</f>
        <v>!</v>
      </c>
      <c r="L22" t="str">
        <f t="shared" si="0"/>
        <v>!</v>
      </c>
      <c r="Q22" t="str">
        <f t="shared" si="1"/>
        <v>!</v>
      </c>
    </row>
    <row r="23" spans="1:17" ht="20" x14ac:dyDescent="0.25">
      <c r="A23" s="26" t="s">
        <v>117</v>
      </c>
      <c r="B23" t="str" cm="1">
        <f t="array" ref="B23">_xlfn.TEXTSPLIT(A23," ",)</f>
        <v>!</v>
      </c>
      <c r="L23" t="str">
        <f t="shared" si="0"/>
        <v>!</v>
      </c>
      <c r="Q23" t="str">
        <f t="shared" si="1"/>
        <v>!</v>
      </c>
    </row>
    <row r="24" spans="1:17" ht="20" x14ac:dyDescent="0.25">
      <c r="A24" s="26" t="s">
        <v>124</v>
      </c>
      <c r="B24" t="str" cm="1">
        <f t="array" ref="B24:E24">_xlfn.TEXTSPLIT(A24," ",)</f>
        <v>crypto</v>
      </c>
      <c r="C24" t="str">
        <v>ikev2</v>
      </c>
      <c r="D24" t="str">
        <v>profile</v>
      </c>
      <c r="E24" t="str">
        <v>sse-primary-1</v>
      </c>
      <c r="L24" t="str">
        <f t="shared" si="0"/>
        <v>crypto ikev2 profile sse-primary-1</v>
      </c>
      <c r="Q24" t="str">
        <f t="shared" si="1"/>
        <v>crypto ikev2 profile sse-primary-1</v>
      </c>
    </row>
    <row r="25" spans="1:17" ht="20" x14ac:dyDescent="0.25">
      <c r="A25" s="26" t="s">
        <v>195</v>
      </c>
      <c r="B25" t="str" cm="1">
        <f t="array" ref="B25:G25">_xlfn.TEXTSPLIT(A25," ",)</f>
        <v> match</v>
      </c>
      <c r="C25" t="str">
        <v>identity</v>
      </c>
      <c r="D25" t="str">
        <v>remote</v>
      </c>
      <c r="E25" t="str">
        <v>address</v>
      </c>
      <c r="F25" t="str">
        <v>X.X.X.X</v>
      </c>
      <c r="G25" t="str">
        <v>255.255.255.255 </v>
      </c>
      <c r="L25" t="str">
        <f>_xlfn.TEXTJOIN(" ",TRUE,B25,C25,D25,E25,IPSEC_BGP_XE_CONFIG!C8,G25,H25,I25,J25)</f>
        <v> match identity remote address 3.141.141.165 255.255.255.255 </v>
      </c>
      <c r="Q25" t="str">
        <f>_xlfn.TEXTJOIN(" ",TRUE,B25,C25,D25,E25,IPSEC_BGP_XE_CONFIG!C20,G25,H25,I25,J25)</f>
        <v> match identity remote address 3.141.141.165 255.255.255.255 </v>
      </c>
    </row>
    <row r="26" spans="1:17" ht="20" x14ac:dyDescent="0.25">
      <c r="A26" s="26" t="s">
        <v>196</v>
      </c>
      <c r="B26" t="str" cm="1">
        <f t="array" ref="B26:E26">_xlfn.TEXTSPLIT(A26," ",)</f>
        <v> identity</v>
      </c>
      <c r="C26" t="str">
        <v>local</v>
      </c>
      <c r="D26" t="str">
        <v>email</v>
      </c>
      <c r="E26" t="str">
        <v>XXX@XXX.COM</v>
      </c>
      <c r="L26" t="str">
        <f>_xlfn.TEXTJOIN(" ",TRUE,B26,C26,D26,IPSEC_BGP_XE_CONFIG!C4&amp;"+tunnel1@"&amp;IPSEC_BGP_XE_CONFIG!C9&amp;"-sse.cisco.com",F26,G26,H26,I26,J26)</f>
        <v> identity local email CiscoIOSA-vHub-CentralUS+tunnel1@8363425-667481483-sse.cisco.com</v>
      </c>
      <c r="Q26" t="str">
        <f>_xlfn.TEXTJOIN(" ",TRUE,B26,C26,D26,IPSEC_BGP_XE_CONFIG!C5&amp;"+tunnel1@"&amp;IPSEC_BGP_XE_CONFIG!C21&amp;"-sse.cisco.com",F26,G26,H26,I26,J26)</f>
        <v> identity local email CiscoIOSB-EastUS-Region+tunnel1@8363425-667398686-sse.cisco.com</v>
      </c>
    </row>
    <row r="27" spans="1:17" ht="20" x14ac:dyDescent="0.25">
      <c r="A27" s="26" t="s">
        <v>125</v>
      </c>
      <c r="B27" t="str" cm="1">
        <f t="array" ref="B27:D27">_xlfn.TEXTSPLIT(A27," ",)</f>
        <v> authentication</v>
      </c>
      <c r="C27" t="str">
        <v>remote</v>
      </c>
      <c r="D27" t="str">
        <v>pre-share</v>
      </c>
      <c r="L27" t="str">
        <f t="shared" si="0"/>
        <v> authentication remote pre-share</v>
      </c>
      <c r="Q27" t="str">
        <f t="shared" si="1"/>
        <v> authentication remote pre-share</v>
      </c>
    </row>
    <row r="28" spans="1:17" ht="20" x14ac:dyDescent="0.25">
      <c r="A28" s="26" t="s">
        <v>126</v>
      </c>
      <c r="B28" t="str" cm="1">
        <f t="array" ref="B28:D28">_xlfn.TEXTSPLIT(A28," ",)</f>
        <v> authentication</v>
      </c>
      <c r="C28" t="str">
        <v>local</v>
      </c>
      <c r="D28" t="str">
        <v>pre-share</v>
      </c>
      <c r="L28" t="str">
        <f t="shared" si="0"/>
        <v> authentication local pre-share</v>
      </c>
      <c r="Q28" t="str">
        <f t="shared" si="1"/>
        <v> authentication local pre-share</v>
      </c>
    </row>
    <row r="29" spans="1:17" ht="20" x14ac:dyDescent="0.25">
      <c r="A29" s="26" t="s">
        <v>127</v>
      </c>
      <c r="B29" t="str" cm="1">
        <f t="array" ref="B29:D29">_xlfn.TEXTSPLIT(A29," ",)</f>
        <v> keyring</v>
      </c>
      <c r="C29" t="str">
        <v>local</v>
      </c>
      <c r="D29" t="str">
        <v>sse-kr</v>
      </c>
      <c r="L29" t="str">
        <f t="shared" si="0"/>
        <v> keyring local sse-kr</v>
      </c>
      <c r="Q29" t="str">
        <f t="shared" si="1"/>
        <v> keyring local sse-kr</v>
      </c>
    </row>
    <row r="30" spans="1:17" ht="20" x14ac:dyDescent="0.25">
      <c r="A30" s="26" t="s">
        <v>128</v>
      </c>
      <c r="B30" t="str" cm="1">
        <f t="array" ref="B30:E30">_xlfn.TEXTSPLIT(A30," ",)</f>
        <v> dpd</v>
      </c>
      <c r="C30" t="str">
        <v>10</v>
      </c>
      <c r="D30" t="str">
        <v>3</v>
      </c>
      <c r="E30" t="str">
        <v>periodic</v>
      </c>
      <c r="L30" t="str">
        <f t="shared" si="0"/>
        <v> dpd 10 3 periodic</v>
      </c>
      <c r="Q30" t="str">
        <f t="shared" si="1"/>
        <v> dpd 10 3 periodic</v>
      </c>
    </row>
    <row r="31" spans="1:17" ht="20" x14ac:dyDescent="0.25">
      <c r="A31" s="26" t="s">
        <v>129</v>
      </c>
      <c r="B31" t="str" cm="1">
        <f t="array" ref="B31:F31">_xlfn.TEXTSPLIT(A31," ",)</f>
        <v>! </v>
      </c>
      <c r="C31" t="str">
        <v> </v>
      </c>
      <c r="D31" t="str">
        <v> </v>
      </c>
      <c r="E31" t="str">
        <v> </v>
      </c>
      <c r="F31" t="str">
        <v> </v>
      </c>
      <c r="L31" t="str">
        <f t="shared" si="0"/>
        <v>!         </v>
      </c>
      <c r="Q31" t="str">
        <f t="shared" si="1"/>
        <v>!         </v>
      </c>
    </row>
    <row r="32" spans="1:17" ht="20" x14ac:dyDescent="0.25">
      <c r="A32" s="26" t="s">
        <v>130</v>
      </c>
      <c r="B32" t="str" cm="1">
        <f t="array" ref="B32:E32">_xlfn.TEXTSPLIT(A32," ",)</f>
        <v>crypto</v>
      </c>
      <c r="C32" t="str">
        <v>ikev2</v>
      </c>
      <c r="D32" t="str">
        <v>profile</v>
      </c>
      <c r="E32" t="str">
        <v>sse-primary-2</v>
      </c>
      <c r="L32" t="str">
        <f t="shared" si="0"/>
        <v>crypto ikev2 profile sse-primary-2</v>
      </c>
      <c r="Q32" t="str">
        <f t="shared" si="1"/>
        <v>crypto ikev2 profile sse-primary-2</v>
      </c>
    </row>
    <row r="33" spans="1:17" ht="20" x14ac:dyDescent="0.25">
      <c r="A33" s="26" t="s">
        <v>195</v>
      </c>
      <c r="B33" t="str" cm="1">
        <f t="array" ref="B33:G33">_xlfn.TEXTSPLIT(A33," ",)</f>
        <v> match</v>
      </c>
      <c r="C33" t="str">
        <v>identity</v>
      </c>
      <c r="D33" t="str">
        <v>remote</v>
      </c>
      <c r="E33" t="str">
        <v>address</v>
      </c>
      <c r="F33" t="str">
        <v>X.X.X.X</v>
      </c>
      <c r="G33" t="str">
        <v>255.255.255.255 </v>
      </c>
      <c r="L33" t="str">
        <f>_xlfn.TEXTJOIN(" ",TRUE,B33,C33,D33,E33,IPSEC_BGP_XE_CONFIG!C8,G33,H33,I33,J33)</f>
        <v> match identity remote address 3.141.141.165 255.255.255.255 </v>
      </c>
      <c r="Q33" t="str">
        <f>_xlfn.TEXTJOIN(" ",TRUE,B33,C33,D33,E33,IPSEC_BGP_XE_CONFIG!C20,G33,H33,I33,J33)</f>
        <v> match identity remote address 3.141.141.165 255.255.255.255 </v>
      </c>
    </row>
    <row r="34" spans="1:17" ht="20" x14ac:dyDescent="0.25">
      <c r="A34" s="26" t="s">
        <v>196</v>
      </c>
      <c r="B34" t="str" cm="1">
        <f t="array" ref="B34:E34">_xlfn.TEXTSPLIT(A34," ",)</f>
        <v> identity</v>
      </c>
      <c r="C34" t="str">
        <v>local</v>
      </c>
      <c r="D34" t="str">
        <v>email</v>
      </c>
      <c r="E34" t="str">
        <v>XXX@XXX.COM</v>
      </c>
      <c r="L34" t="str">
        <f>_xlfn.TEXTJOIN(" ",TRUE,B26,C26,D26,IPSEC_BGP_XE_CONFIG!C4&amp;"+tunnel2@"&amp;IPSEC_BGP_XE_CONFIG!C9&amp;"-sse.cisco.com",F26,G26,H26,I26,J26)</f>
        <v> identity local email CiscoIOSA-vHub-CentralUS+tunnel2@8363425-667481483-sse.cisco.com</v>
      </c>
      <c r="Q34" t="str">
        <f>_xlfn.TEXTJOIN(" ",TRUE,B26,C26,D26,IPSEC_BGP_XE_CONFIG!C5&amp;"+tunnel2@"&amp;IPSEC_BGP_XE_CONFIG!C21&amp;"-sse.cisco.com",F26,G26,H26,I26,J26)</f>
        <v> identity local email CiscoIOSB-EastUS-Region+tunnel2@8363425-667398686-sse.cisco.com</v>
      </c>
    </row>
    <row r="35" spans="1:17" ht="20" x14ac:dyDescent="0.25">
      <c r="A35" s="26" t="s">
        <v>125</v>
      </c>
      <c r="B35" t="str" cm="1">
        <f t="array" ref="B35:D35">_xlfn.TEXTSPLIT(A35," ",)</f>
        <v> authentication</v>
      </c>
      <c r="C35" t="str">
        <v>remote</v>
      </c>
      <c r="D35" t="str">
        <v>pre-share</v>
      </c>
      <c r="L35" t="str">
        <f t="shared" si="0"/>
        <v> authentication remote pre-share</v>
      </c>
      <c r="Q35" t="str">
        <f t="shared" si="1"/>
        <v> authentication remote pre-share</v>
      </c>
    </row>
    <row r="36" spans="1:17" ht="20" x14ac:dyDescent="0.25">
      <c r="A36" s="26" t="s">
        <v>126</v>
      </c>
      <c r="B36" t="str" cm="1">
        <f t="array" ref="B36:D36">_xlfn.TEXTSPLIT(A36," ",)</f>
        <v> authentication</v>
      </c>
      <c r="C36" t="str">
        <v>local</v>
      </c>
      <c r="D36" t="str">
        <v>pre-share</v>
      </c>
      <c r="L36" t="str">
        <f t="shared" si="0"/>
        <v> authentication local pre-share</v>
      </c>
      <c r="Q36" t="str">
        <f t="shared" si="1"/>
        <v> authentication local pre-share</v>
      </c>
    </row>
    <row r="37" spans="1:17" ht="20" x14ac:dyDescent="0.25">
      <c r="A37" s="26" t="s">
        <v>127</v>
      </c>
      <c r="B37" t="str" cm="1">
        <f t="array" ref="B37:D37">_xlfn.TEXTSPLIT(A37," ",)</f>
        <v> keyring</v>
      </c>
      <c r="C37" t="str">
        <v>local</v>
      </c>
      <c r="D37" t="str">
        <v>sse-kr</v>
      </c>
      <c r="L37" t="str">
        <f t="shared" si="0"/>
        <v> keyring local sse-kr</v>
      </c>
      <c r="Q37" t="str">
        <f t="shared" si="1"/>
        <v> keyring local sse-kr</v>
      </c>
    </row>
    <row r="38" spans="1:17" ht="20" x14ac:dyDescent="0.25">
      <c r="A38" s="26" t="s">
        <v>128</v>
      </c>
      <c r="B38" t="str" cm="1">
        <f t="array" ref="B38:E38">_xlfn.TEXTSPLIT(A38," ",)</f>
        <v> dpd</v>
      </c>
      <c r="C38" t="str">
        <v>10</v>
      </c>
      <c r="D38" t="str">
        <v>3</v>
      </c>
      <c r="E38" t="str">
        <v>periodic</v>
      </c>
      <c r="L38" t="str">
        <f t="shared" si="0"/>
        <v> dpd 10 3 periodic</v>
      </c>
      <c r="Q38" t="str">
        <f t="shared" si="1"/>
        <v> dpd 10 3 periodic</v>
      </c>
    </row>
    <row r="39" spans="1:17" ht="20" x14ac:dyDescent="0.25">
      <c r="A39" s="26" t="s">
        <v>129</v>
      </c>
      <c r="B39" t="str" cm="1">
        <f t="array" ref="B39:F39">_xlfn.TEXTSPLIT(A39," ",)</f>
        <v>! </v>
      </c>
      <c r="C39" t="str">
        <v> </v>
      </c>
      <c r="D39" t="str">
        <v> </v>
      </c>
      <c r="E39" t="str">
        <v> </v>
      </c>
      <c r="F39" t="str">
        <v> </v>
      </c>
      <c r="L39" t="str">
        <f t="shared" si="0"/>
        <v>!         </v>
      </c>
      <c r="Q39" t="str">
        <f t="shared" si="1"/>
        <v>!         </v>
      </c>
    </row>
    <row r="40" spans="1:17" ht="20" x14ac:dyDescent="0.25">
      <c r="A40" s="26" t="s">
        <v>131</v>
      </c>
      <c r="B40" t="str" cm="1">
        <f t="array" ref="B40:E40">_xlfn.TEXTSPLIT(A40," ",)</f>
        <v>crypto</v>
      </c>
      <c r="C40" t="str">
        <v>ikev2</v>
      </c>
      <c r="D40" t="str">
        <v>profile</v>
      </c>
      <c r="E40" t="str">
        <v>sse-secondary-1</v>
      </c>
      <c r="L40" t="str">
        <f t="shared" si="0"/>
        <v>crypto ikev2 profile sse-secondary-1</v>
      </c>
      <c r="Q40" t="str">
        <f t="shared" si="1"/>
        <v>crypto ikev2 profile sse-secondary-1</v>
      </c>
    </row>
    <row r="41" spans="1:17" ht="20" x14ac:dyDescent="0.25">
      <c r="A41" s="26" t="s">
        <v>195</v>
      </c>
      <c r="B41" t="str" cm="1">
        <f t="array" ref="B41:G41">_xlfn.TEXTSPLIT(A41," ",)</f>
        <v> match</v>
      </c>
      <c r="C41" t="str">
        <v>identity</v>
      </c>
      <c r="D41" t="str">
        <v>remote</v>
      </c>
      <c r="E41" t="str">
        <v>address</v>
      </c>
      <c r="F41" t="str">
        <v>X.X.X.X</v>
      </c>
      <c r="G41" t="str">
        <v>255.255.255.255 </v>
      </c>
      <c r="L41" t="str">
        <f>_xlfn.TEXTJOIN(" ",TRUE,B41,C41,D41,E41,IPSEC_BGP_XE_CONFIG!C12,G41,H41,I41,J41)</f>
        <v> match identity remote address 3.140.13.195 255.255.255.255 </v>
      </c>
      <c r="Q41" t="str">
        <f>_xlfn.TEXTJOIN(" ",TRUE,B41,C41,D41,E41,IPSEC_BGP_XE_CONFIG!C24,G41,H41,I41,J41)</f>
        <v> match identity remote address 3.140.13.195 255.255.255.255 </v>
      </c>
    </row>
    <row r="42" spans="1:17" ht="20" x14ac:dyDescent="0.25">
      <c r="A42" s="26" t="s">
        <v>196</v>
      </c>
      <c r="B42" t="str" cm="1">
        <f t="array" ref="B42:E42">_xlfn.TEXTSPLIT(A42," ",)</f>
        <v> identity</v>
      </c>
      <c r="C42" t="str">
        <v>local</v>
      </c>
      <c r="D42" t="str">
        <v>email</v>
      </c>
      <c r="E42" t="str">
        <v>XXX@XXX.COM</v>
      </c>
      <c r="L42" t="str">
        <f>_xlfn.TEXTJOIN(" ",TRUE,B26,C26,D26,IPSEC_BGP_XE_CONFIG!C4&amp;"+tunnel1@"&amp;IPSEC_BGP_XE_CONFIG!C13&amp;"-sse.cisco.com",F26,G26,H26,I26,J26)</f>
        <v> identity local email CiscoIOSA-vHub-CentralUS+tunnel1@8363425-667481484-sse.cisco.com</v>
      </c>
      <c r="Q42" t="str">
        <f>_xlfn.TEXTJOIN(" ",TRUE,B26,C26,D26,IPSEC_BGP_XE_CONFIG!C5&amp;"+tunnel1@"&amp;IPSEC_BGP_XE_CONFIG!C25&amp;"-sse.cisco.com",F26,G26,H26,I26,J26)</f>
        <v> identity local email CiscoIOSB-EastUS-Region+tunnel1@8363425-667398687-sse.cisco.com</v>
      </c>
    </row>
    <row r="43" spans="1:17" ht="20" x14ac:dyDescent="0.25">
      <c r="A43" s="26" t="s">
        <v>125</v>
      </c>
      <c r="B43" t="str" cm="1">
        <f t="array" ref="B43:D43">_xlfn.TEXTSPLIT(A43," ",)</f>
        <v> authentication</v>
      </c>
      <c r="C43" t="str">
        <v>remote</v>
      </c>
      <c r="D43" t="str">
        <v>pre-share</v>
      </c>
      <c r="L43" t="str">
        <f t="shared" si="0"/>
        <v> authentication remote pre-share</v>
      </c>
      <c r="Q43" t="str">
        <f t="shared" si="1"/>
        <v> authentication remote pre-share</v>
      </c>
    </row>
    <row r="44" spans="1:17" ht="20" x14ac:dyDescent="0.25">
      <c r="A44" s="26" t="s">
        <v>126</v>
      </c>
      <c r="B44" t="str" cm="1">
        <f t="array" ref="B44:D44">_xlfn.TEXTSPLIT(A44," ",)</f>
        <v> authentication</v>
      </c>
      <c r="C44" t="str">
        <v>local</v>
      </c>
      <c r="D44" t="str">
        <v>pre-share</v>
      </c>
      <c r="L44" t="str">
        <f t="shared" si="0"/>
        <v> authentication local pre-share</v>
      </c>
      <c r="Q44" t="str">
        <f t="shared" si="1"/>
        <v> authentication local pre-share</v>
      </c>
    </row>
    <row r="45" spans="1:17" ht="20" x14ac:dyDescent="0.25">
      <c r="A45" s="26" t="s">
        <v>127</v>
      </c>
      <c r="B45" t="str" cm="1">
        <f t="array" ref="B45:D45">_xlfn.TEXTSPLIT(A45," ",)</f>
        <v> keyring</v>
      </c>
      <c r="C45" t="str">
        <v>local</v>
      </c>
      <c r="D45" t="str">
        <v>sse-kr</v>
      </c>
      <c r="L45" t="str">
        <f t="shared" si="0"/>
        <v> keyring local sse-kr</v>
      </c>
      <c r="Q45" t="str">
        <f t="shared" si="1"/>
        <v> keyring local sse-kr</v>
      </c>
    </row>
    <row r="46" spans="1:17" ht="20" x14ac:dyDescent="0.25">
      <c r="A46" s="26" t="s">
        <v>128</v>
      </c>
      <c r="B46" t="str" cm="1">
        <f t="array" ref="B46:E46">_xlfn.TEXTSPLIT(A46," ",)</f>
        <v> dpd</v>
      </c>
      <c r="C46" t="str">
        <v>10</v>
      </c>
      <c r="D46" t="str">
        <v>3</v>
      </c>
      <c r="E46" t="str">
        <v>periodic</v>
      </c>
      <c r="L46" t="str">
        <f t="shared" si="0"/>
        <v> dpd 10 3 periodic</v>
      </c>
      <c r="Q46" t="str">
        <f t="shared" si="1"/>
        <v> dpd 10 3 periodic</v>
      </c>
    </row>
    <row r="47" spans="1:17" ht="20" x14ac:dyDescent="0.25">
      <c r="A47" s="26" t="s">
        <v>129</v>
      </c>
      <c r="B47" t="str" cm="1">
        <f t="array" ref="B47:F47">_xlfn.TEXTSPLIT(A47," ",)</f>
        <v>! </v>
      </c>
      <c r="C47" t="str">
        <v> </v>
      </c>
      <c r="D47" t="str">
        <v> </v>
      </c>
      <c r="E47" t="str">
        <v> </v>
      </c>
      <c r="F47" t="str">
        <v> </v>
      </c>
      <c r="L47" t="str">
        <f t="shared" si="0"/>
        <v>!         </v>
      </c>
      <c r="Q47" t="str">
        <f t="shared" si="1"/>
        <v>!         </v>
      </c>
    </row>
    <row r="48" spans="1:17" ht="20" x14ac:dyDescent="0.25">
      <c r="A48" s="26" t="s">
        <v>132</v>
      </c>
      <c r="B48" t="str" cm="1">
        <f t="array" ref="B48:E48">_xlfn.TEXTSPLIT(A48," ",)</f>
        <v>crypto</v>
      </c>
      <c r="C48" t="str">
        <v>ikev2</v>
      </c>
      <c r="D48" t="str">
        <v>profile</v>
      </c>
      <c r="E48" t="str">
        <v>sse-secondary-2</v>
      </c>
      <c r="L48" t="str">
        <f t="shared" si="0"/>
        <v>crypto ikev2 profile sse-secondary-2</v>
      </c>
      <c r="Q48" t="str">
        <f t="shared" si="1"/>
        <v>crypto ikev2 profile sse-secondary-2</v>
      </c>
    </row>
    <row r="49" spans="1:17" ht="20" x14ac:dyDescent="0.25">
      <c r="A49" s="26" t="s">
        <v>195</v>
      </c>
      <c r="B49" t="str" cm="1">
        <f t="array" ref="B49:G49">_xlfn.TEXTSPLIT(A49," ",)</f>
        <v> match</v>
      </c>
      <c r="C49" t="str">
        <v>identity</v>
      </c>
      <c r="D49" t="str">
        <v>remote</v>
      </c>
      <c r="E49" t="str">
        <v>address</v>
      </c>
      <c r="F49" t="str">
        <v>X.X.X.X</v>
      </c>
      <c r="G49" t="str">
        <v>255.255.255.255 </v>
      </c>
      <c r="L49" t="str">
        <f>_xlfn.TEXTJOIN(" ",TRUE,B49,C49,D49,E49,IPSEC_BGP_XE_CONFIG!C12,G49,H49,I49,J49)</f>
        <v> match identity remote address 3.140.13.195 255.255.255.255 </v>
      </c>
      <c r="Q49" t="str">
        <f>_xlfn.TEXTJOIN(" ",TRUE,B49,C49,D49,E49,IPSEC_BGP_XE_CONFIG!C24,G49,H49,I49,J49)</f>
        <v> match identity remote address 3.140.13.195 255.255.255.255 </v>
      </c>
    </row>
    <row r="50" spans="1:17" ht="20" x14ac:dyDescent="0.25">
      <c r="A50" s="26" t="s">
        <v>196</v>
      </c>
      <c r="B50" t="str" cm="1">
        <f t="array" ref="B50:E50">_xlfn.TEXTSPLIT(A50," ",)</f>
        <v> identity</v>
      </c>
      <c r="C50" t="str">
        <v>local</v>
      </c>
      <c r="D50" t="str">
        <v>email</v>
      </c>
      <c r="E50" t="str">
        <v>XXX@XXX.COM</v>
      </c>
      <c r="L50" t="str">
        <f>_xlfn.TEXTJOIN(" ",TRUE,B26,C26,D26,IPSEC_BGP_XE_CONFIG!C4&amp;"+tunnel2@"&amp;IPSEC_BGP_XE_CONFIG!C13&amp;"-sse.cisco.com",F26,G26,H26,I26,J26)</f>
        <v> identity local email CiscoIOSA-vHub-CentralUS+tunnel2@8363425-667481484-sse.cisco.com</v>
      </c>
      <c r="Q50" t="str">
        <f>_xlfn.TEXTJOIN(" ",TRUE,B26,C26,D26,IPSEC_BGP_XE_CONFIG!C5&amp;"+tunnel2@"&amp;IPSEC_BGP_XE_CONFIG!C25&amp;"-sse.cisco.com",F26,G26,H26,I26,J26)</f>
        <v> identity local email CiscoIOSB-EastUS-Region+tunnel2@8363425-667398687-sse.cisco.com</v>
      </c>
    </row>
    <row r="51" spans="1:17" ht="20" x14ac:dyDescent="0.25">
      <c r="A51" s="26" t="s">
        <v>125</v>
      </c>
      <c r="B51" t="str" cm="1">
        <f t="array" ref="B51:D51">_xlfn.TEXTSPLIT(A51," ",)</f>
        <v> authentication</v>
      </c>
      <c r="C51" t="str">
        <v>remote</v>
      </c>
      <c r="D51" t="str">
        <v>pre-share</v>
      </c>
      <c r="L51" t="str">
        <f t="shared" si="0"/>
        <v> authentication remote pre-share</v>
      </c>
      <c r="Q51" t="str">
        <f t="shared" si="1"/>
        <v> authentication remote pre-share</v>
      </c>
    </row>
    <row r="52" spans="1:17" ht="20" x14ac:dyDescent="0.25">
      <c r="A52" s="26" t="s">
        <v>126</v>
      </c>
      <c r="B52" t="str" cm="1">
        <f t="array" ref="B52:D52">_xlfn.TEXTSPLIT(A52," ",)</f>
        <v> authentication</v>
      </c>
      <c r="C52" t="str">
        <v>local</v>
      </c>
      <c r="D52" t="str">
        <v>pre-share</v>
      </c>
      <c r="L52" t="str">
        <f t="shared" si="0"/>
        <v> authentication local pre-share</v>
      </c>
      <c r="Q52" t="str">
        <f t="shared" si="1"/>
        <v> authentication local pre-share</v>
      </c>
    </row>
    <row r="53" spans="1:17" ht="20" x14ac:dyDescent="0.25">
      <c r="A53" s="26" t="s">
        <v>127</v>
      </c>
      <c r="B53" t="str" cm="1">
        <f t="array" ref="B53:D53">_xlfn.TEXTSPLIT(A53," ",)</f>
        <v> keyring</v>
      </c>
      <c r="C53" t="str">
        <v>local</v>
      </c>
      <c r="D53" t="str">
        <v>sse-kr</v>
      </c>
      <c r="L53" t="str">
        <f t="shared" si="0"/>
        <v> keyring local sse-kr</v>
      </c>
      <c r="Q53" t="str">
        <f t="shared" si="1"/>
        <v> keyring local sse-kr</v>
      </c>
    </row>
    <row r="54" spans="1:17" ht="20" x14ac:dyDescent="0.25">
      <c r="A54" s="26" t="s">
        <v>128</v>
      </c>
      <c r="B54" t="str" cm="1">
        <f t="array" ref="B54:E54">_xlfn.TEXTSPLIT(A54," ",)</f>
        <v> dpd</v>
      </c>
      <c r="C54" t="str">
        <v>10</v>
      </c>
      <c r="D54" t="str">
        <v>3</v>
      </c>
      <c r="E54" t="str">
        <v>periodic</v>
      </c>
      <c r="L54" t="str">
        <f t="shared" si="0"/>
        <v> dpd 10 3 periodic</v>
      </c>
      <c r="Q54" t="str">
        <f t="shared" si="1"/>
        <v> dpd 10 3 periodic</v>
      </c>
    </row>
    <row r="55" spans="1:17" ht="20" x14ac:dyDescent="0.25">
      <c r="A55" s="26"/>
    </row>
    <row r="56" spans="1:17" ht="20" x14ac:dyDescent="0.25">
      <c r="A56" s="26" t="s">
        <v>117</v>
      </c>
      <c r="L56" t="str">
        <f>A56</f>
        <v>!</v>
      </c>
      <c r="Q56" t="str">
        <f>L56</f>
        <v>!</v>
      </c>
    </row>
    <row r="57" spans="1:17" ht="20" x14ac:dyDescent="0.25">
      <c r="A57" s="26" t="s">
        <v>226</v>
      </c>
      <c r="L57" t="str">
        <f t="shared" ref="L57:L59" si="2">A57</f>
        <v xml:space="preserve">crypto ipsec transform-set sse-ts esp-gcm 256 </v>
      </c>
      <c r="Q57" t="str">
        <f t="shared" ref="Q57:Q59" si="3">L57</f>
        <v xml:space="preserve">crypto ipsec transform-set sse-ts esp-gcm 256 </v>
      </c>
    </row>
    <row r="58" spans="1:17" ht="20" x14ac:dyDescent="0.25">
      <c r="A58" s="26" t="s">
        <v>227</v>
      </c>
      <c r="L58" t="str">
        <f t="shared" si="2"/>
        <v xml:space="preserve"> mode tunnel</v>
      </c>
      <c r="Q58" t="str">
        <f t="shared" si="3"/>
        <v xml:space="preserve"> mode tunnel</v>
      </c>
    </row>
    <row r="59" spans="1:17" ht="20" x14ac:dyDescent="0.25">
      <c r="A59" s="26" t="s">
        <v>117</v>
      </c>
      <c r="L59" t="str">
        <f t="shared" si="2"/>
        <v>!</v>
      </c>
      <c r="Q59" t="str">
        <f t="shared" si="3"/>
        <v>!</v>
      </c>
    </row>
    <row r="60" spans="1:17" ht="20" x14ac:dyDescent="0.25">
      <c r="A60" s="26" t="s">
        <v>117</v>
      </c>
    </row>
    <row r="61" spans="1:17" ht="20" x14ac:dyDescent="0.25">
      <c r="A61" s="26" t="s">
        <v>228</v>
      </c>
      <c r="L61" t="str">
        <f>A61</f>
        <v>crypto ipsec profile sse-ipsec-primary-1</v>
      </c>
      <c r="Q61" t="str">
        <f>L61</f>
        <v>crypto ipsec profile sse-ipsec-primary-1</v>
      </c>
    </row>
    <row r="62" spans="1:17" ht="20" x14ac:dyDescent="0.25">
      <c r="A62" s="26" t="s">
        <v>229</v>
      </c>
      <c r="L62" t="str">
        <f t="shared" ref="L62:L80" si="4">A62</f>
        <v xml:space="preserve"> set transform-set sse-ts </v>
      </c>
      <c r="Q62" t="str">
        <f t="shared" ref="Q62:Q76" si="5">L62</f>
        <v xml:space="preserve"> set transform-set sse-ts </v>
      </c>
    </row>
    <row r="63" spans="1:17" ht="20" x14ac:dyDescent="0.25">
      <c r="A63" s="26" t="s">
        <v>230</v>
      </c>
      <c r="L63" t="str">
        <f t="shared" si="4"/>
        <v xml:space="preserve"> set ikev2-profile sse-primary-1</v>
      </c>
      <c r="Q63" t="str">
        <f t="shared" si="5"/>
        <v xml:space="preserve"> set ikev2-profile sse-primary-1</v>
      </c>
    </row>
    <row r="64" spans="1:17" ht="20" x14ac:dyDescent="0.25">
      <c r="A64" s="26" t="s">
        <v>117</v>
      </c>
      <c r="L64" t="str">
        <f t="shared" si="4"/>
        <v>!</v>
      </c>
      <c r="Q64" t="str">
        <f t="shared" si="5"/>
        <v>!</v>
      </c>
    </row>
    <row r="65" spans="1:17" ht="20" x14ac:dyDescent="0.25">
      <c r="A65" s="26" t="s">
        <v>231</v>
      </c>
      <c r="L65" t="str">
        <f t="shared" si="4"/>
        <v>crypto ipsec profile sse-ipsec-primary-2</v>
      </c>
      <c r="Q65" t="str">
        <f t="shared" si="5"/>
        <v>crypto ipsec profile sse-ipsec-primary-2</v>
      </c>
    </row>
    <row r="66" spans="1:17" ht="20" x14ac:dyDescent="0.25">
      <c r="A66" s="26" t="s">
        <v>229</v>
      </c>
      <c r="L66" t="str">
        <f t="shared" si="4"/>
        <v xml:space="preserve"> set transform-set sse-ts </v>
      </c>
      <c r="Q66" t="str">
        <f t="shared" si="5"/>
        <v xml:space="preserve"> set transform-set sse-ts </v>
      </c>
    </row>
    <row r="67" spans="1:17" ht="20" x14ac:dyDescent="0.25">
      <c r="A67" s="26" t="s">
        <v>232</v>
      </c>
      <c r="L67" t="str">
        <f t="shared" si="4"/>
        <v xml:space="preserve"> set ikev2-profile sse-primary-2</v>
      </c>
      <c r="Q67" t="str">
        <f t="shared" si="5"/>
        <v xml:space="preserve"> set ikev2-profile sse-primary-2</v>
      </c>
    </row>
    <row r="68" spans="1:17" ht="20" x14ac:dyDescent="0.25">
      <c r="A68" s="26" t="s">
        <v>117</v>
      </c>
      <c r="L68" t="str">
        <f t="shared" si="4"/>
        <v>!</v>
      </c>
      <c r="Q68" t="str">
        <f t="shared" si="5"/>
        <v>!</v>
      </c>
    </row>
    <row r="69" spans="1:17" ht="20" x14ac:dyDescent="0.25">
      <c r="A69" s="26" t="s">
        <v>233</v>
      </c>
      <c r="L69" t="str">
        <f t="shared" si="4"/>
        <v>crypto ipsec profile sse-ipsec-secondary-1</v>
      </c>
      <c r="Q69" t="str">
        <f t="shared" si="5"/>
        <v>crypto ipsec profile sse-ipsec-secondary-1</v>
      </c>
    </row>
    <row r="70" spans="1:17" ht="20" x14ac:dyDescent="0.25">
      <c r="A70" s="26" t="s">
        <v>229</v>
      </c>
      <c r="L70" t="str">
        <f t="shared" si="4"/>
        <v xml:space="preserve"> set transform-set sse-ts </v>
      </c>
      <c r="Q70" t="str">
        <f t="shared" si="5"/>
        <v xml:space="preserve"> set transform-set sse-ts </v>
      </c>
    </row>
    <row r="71" spans="1:17" ht="20" x14ac:dyDescent="0.25">
      <c r="A71" s="26" t="s">
        <v>234</v>
      </c>
      <c r="L71" t="str">
        <f t="shared" si="4"/>
        <v xml:space="preserve"> set ikev2-profile sse-secondary-1</v>
      </c>
      <c r="Q71" t="str">
        <f t="shared" si="5"/>
        <v xml:space="preserve"> set ikev2-profile sse-secondary-1</v>
      </c>
    </row>
    <row r="72" spans="1:17" ht="20" x14ac:dyDescent="0.25">
      <c r="A72" s="26" t="s">
        <v>117</v>
      </c>
      <c r="L72" t="str">
        <f>A72</f>
        <v>!</v>
      </c>
      <c r="Q72" t="str">
        <f t="shared" si="5"/>
        <v>!</v>
      </c>
    </row>
    <row r="73" spans="1:17" ht="20" x14ac:dyDescent="0.25">
      <c r="A73" s="26" t="s">
        <v>235</v>
      </c>
      <c r="L73" t="str">
        <f t="shared" si="4"/>
        <v>crypto ipsec profile sse-ipsec-secondary-2</v>
      </c>
      <c r="Q73" t="str">
        <f t="shared" si="5"/>
        <v>crypto ipsec profile sse-ipsec-secondary-2</v>
      </c>
    </row>
    <row r="74" spans="1:17" ht="20" x14ac:dyDescent="0.25">
      <c r="A74" s="26" t="s">
        <v>229</v>
      </c>
      <c r="L74" t="str">
        <f t="shared" si="4"/>
        <v xml:space="preserve"> set transform-set sse-ts </v>
      </c>
      <c r="Q74" t="str">
        <f t="shared" si="5"/>
        <v xml:space="preserve"> set transform-set sse-ts </v>
      </c>
    </row>
    <row r="75" spans="1:17" ht="20" x14ac:dyDescent="0.25">
      <c r="A75" s="26" t="s">
        <v>236</v>
      </c>
      <c r="L75" t="str">
        <f t="shared" si="4"/>
        <v xml:space="preserve"> set ikev2-profile sse-secondary-2</v>
      </c>
      <c r="Q75" t="str">
        <f t="shared" si="5"/>
        <v xml:space="preserve"> set ikev2-profile sse-secondary-2</v>
      </c>
    </row>
    <row r="76" spans="1:17" ht="20" x14ac:dyDescent="0.25">
      <c r="A76" s="26" t="s">
        <v>117</v>
      </c>
      <c r="L76" t="str">
        <f t="shared" si="4"/>
        <v>!</v>
      </c>
      <c r="Q76" t="str">
        <f t="shared" si="5"/>
        <v>!</v>
      </c>
    </row>
    <row r="77" spans="1:17" ht="20" x14ac:dyDescent="0.25">
      <c r="A77" s="26" t="s">
        <v>117</v>
      </c>
      <c r="L77" t="str">
        <f t="shared" si="4"/>
        <v>!</v>
      </c>
    </row>
    <row r="78" spans="1:17" ht="20" x14ac:dyDescent="0.25">
      <c r="A78" s="26" t="s">
        <v>117</v>
      </c>
      <c r="L78" t="str">
        <f t="shared" si="4"/>
        <v>!</v>
      </c>
    </row>
    <row r="79" spans="1:17" ht="20" x14ac:dyDescent="0.25">
      <c r="A79" s="26" t="s">
        <v>117</v>
      </c>
      <c r="L79" t="str">
        <f>A79</f>
        <v>!</v>
      </c>
    </row>
    <row r="80" spans="1:17" ht="20" x14ac:dyDescent="0.25">
      <c r="A80" s="26" t="s">
        <v>117</v>
      </c>
      <c r="L80" t="str">
        <f t="shared" si="4"/>
        <v>!</v>
      </c>
    </row>
    <row r="81" spans="1:17" ht="20" x14ac:dyDescent="0.25">
      <c r="A81" s="26"/>
    </row>
    <row r="82" spans="1:17" ht="20" x14ac:dyDescent="0.25">
      <c r="A82" s="26"/>
    </row>
    <row r="83" spans="1:17" ht="20" x14ac:dyDescent="0.25">
      <c r="A83" s="26"/>
    </row>
    <row r="84" spans="1:17" ht="20" x14ac:dyDescent="0.25">
      <c r="A84" s="26"/>
    </row>
    <row r="85" spans="1:17" ht="20" x14ac:dyDescent="0.25">
      <c r="A85" s="26"/>
    </row>
    <row r="86" spans="1:17" ht="20" x14ac:dyDescent="0.25">
      <c r="A86" s="26"/>
    </row>
    <row r="87" spans="1:17" x14ac:dyDescent="0.2">
      <c r="Q87" t="str">
        <f t="shared" si="1"/>
        <v/>
      </c>
    </row>
    <row r="88" spans="1:17" ht="20" x14ac:dyDescent="0.25">
      <c r="A88" s="26" t="s">
        <v>133</v>
      </c>
      <c r="B88" t="str" cm="1">
        <f t="array" ref="B88:C88">_xlfn.TEXTSPLIT(A88," ",)</f>
        <v>interface</v>
      </c>
      <c r="C88" t="str">
        <v>Loopback1</v>
      </c>
      <c r="L88" t="str">
        <f t="shared" si="0"/>
        <v>interface Loopback1</v>
      </c>
      <c r="Q88" t="str">
        <f t="shared" si="1"/>
        <v>interface Loopback1</v>
      </c>
    </row>
    <row r="89" spans="1:17" ht="20" x14ac:dyDescent="0.25">
      <c r="A89" s="26" t="s">
        <v>134</v>
      </c>
      <c r="B89" t="str" cm="1">
        <f t="array" ref="B89:G89">_xlfn.TEXTSPLIT(A89," ",)</f>
        <v> description</v>
      </c>
      <c r="C89" t="str">
        <v>source</v>
      </c>
      <c r="D89" t="str">
        <v>for</v>
      </c>
      <c r="E89" t="str">
        <v>interface</v>
      </c>
      <c r="F89" t="str">
        <v>tunnel</v>
      </c>
      <c r="G89" t="str">
        <v>1</v>
      </c>
      <c r="L89" t="str">
        <f t="shared" si="0"/>
        <v> description source for interface tunnel 1</v>
      </c>
      <c r="Q89" t="str">
        <f t="shared" si="1"/>
        <v> description source for interface tunnel 1</v>
      </c>
    </row>
    <row r="90" spans="1:17" ht="20" x14ac:dyDescent="0.25">
      <c r="A90" s="26" t="s">
        <v>198</v>
      </c>
      <c r="B90" t="str" cm="1">
        <f t="array" ref="B90:E90">_xlfn.TEXTSPLIT(A90," ",)</f>
        <v> ip</v>
      </c>
      <c r="C90" t="str">
        <v>address</v>
      </c>
      <c r="D90" t="str">
        <v>100.64.255.1</v>
      </c>
      <c r="E90" t="str">
        <v>255.255.255.255</v>
      </c>
      <c r="L90" t="str">
        <f t="shared" si="0"/>
        <v> ip address 100.64.255.1 255.255.255.255</v>
      </c>
      <c r="Q90" t="str">
        <f t="shared" si="1"/>
        <v> ip address 100.64.255.1 255.255.255.255</v>
      </c>
    </row>
    <row r="91" spans="1:17" ht="20" x14ac:dyDescent="0.25">
      <c r="A91" s="26" t="s">
        <v>135</v>
      </c>
      <c r="B91" t="str" cm="1">
        <f t="array" ref="B91:D91">_xlfn.TEXTSPLIT(A91," ",)</f>
        <v> ip</v>
      </c>
      <c r="C91" t="str">
        <v>nat</v>
      </c>
      <c r="D91" t="str">
        <v>inside</v>
      </c>
      <c r="L91" t="str">
        <f t="shared" si="0"/>
        <v> ip nat inside</v>
      </c>
      <c r="Q91" t="str">
        <f t="shared" si="1"/>
        <v> ip nat inside</v>
      </c>
    </row>
    <row r="92" spans="1:17" ht="20" x14ac:dyDescent="0.25">
      <c r="A92" s="26" t="s">
        <v>129</v>
      </c>
      <c r="B92" t="str" cm="1">
        <f t="array" ref="B92:F92">_xlfn.TEXTSPLIT(A92," ",)</f>
        <v>! </v>
      </c>
      <c r="C92" t="str">
        <v> </v>
      </c>
      <c r="D92" t="str">
        <v> </v>
      </c>
      <c r="E92" t="str">
        <v> </v>
      </c>
      <c r="F92" t="str">
        <v> </v>
      </c>
      <c r="L92" t="str">
        <f t="shared" si="0"/>
        <v>!         </v>
      </c>
      <c r="Q92" t="str">
        <f t="shared" si="1"/>
        <v>!         </v>
      </c>
    </row>
    <row r="93" spans="1:17" ht="20" x14ac:dyDescent="0.25">
      <c r="A93" s="26" t="s">
        <v>136</v>
      </c>
      <c r="B93" t="str" cm="1">
        <f t="array" ref="B93:C93">_xlfn.TEXTSPLIT(A93," ",)</f>
        <v>interface</v>
      </c>
      <c r="C93" t="str">
        <v>Loopback2</v>
      </c>
      <c r="L93" t="str">
        <f t="shared" si="0"/>
        <v>interface Loopback2</v>
      </c>
      <c r="Q93" t="str">
        <f t="shared" si="1"/>
        <v>interface Loopback2</v>
      </c>
    </row>
    <row r="94" spans="1:17" ht="20" x14ac:dyDescent="0.25">
      <c r="A94" s="26" t="s">
        <v>137</v>
      </c>
      <c r="B94" t="str" cm="1">
        <f t="array" ref="B94:G94">_xlfn.TEXTSPLIT(A94," ",)</f>
        <v> description</v>
      </c>
      <c r="C94" t="str">
        <v>source</v>
      </c>
      <c r="D94" t="str">
        <v>for</v>
      </c>
      <c r="E94" t="str">
        <v>interface</v>
      </c>
      <c r="F94" t="str">
        <v>tunnel</v>
      </c>
      <c r="G94" t="str">
        <v>2</v>
      </c>
      <c r="L94" t="str">
        <f t="shared" si="0"/>
        <v> description source for interface tunnel 2</v>
      </c>
      <c r="Q94" t="str">
        <f t="shared" si="1"/>
        <v> description source for interface tunnel 2</v>
      </c>
    </row>
    <row r="95" spans="1:17" ht="20" x14ac:dyDescent="0.25">
      <c r="A95" s="26" t="s">
        <v>199</v>
      </c>
      <c r="B95" t="str" cm="1">
        <f t="array" ref="B95:E95">_xlfn.TEXTSPLIT(A95," ",)</f>
        <v> ip</v>
      </c>
      <c r="C95" t="str">
        <v>address</v>
      </c>
      <c r="D95" t="str">
        <v>100.64.255.2</v>
      </c>
      <c r="E95" t="str">
        <v>255.255.255.255</v>
      </c>
      <c r="L95" t="str">
        <f t="shared" si="0"/>
        <v> ip address 100.64.255.2 255.255.255.255</v>
      </c>
      <c r="Q95" t="str">
        <f t="shared" si="1"/>
        <v> ip address 100.64.255.2 255.255.255.255</v>
      </c>
    </row>
    <row r="96" spans="1:17" ht="20" x14ac:dyDescent="0.25">
      <c r="A96" s="26" t="s">
        <v>135</v>
      </c>
      <c r="B96" t="str" cm="1">
        <f t="array" ref="B96:D96">_xlfn.TEXTSPLIT(A96," ",)</f>
        <v> ip</v>
      </c>
      <c r="C96" t="str">
        <v>nat</v>
      </c>
      <c r="D96" t="str">
        <v>inside</v>
      </c>
      <c r="L96" t="str">
        <f t="shared" si="0"/>
        <v> ip nat inside</v>
      </c>
      <c r="Q96" t="str">
        <f t="shared" si="1"/>
        <v> ip nat inside</v>
      </c>
    </row>
    <row r="97" spans="1:17" ht="20" x14ac:dyDescent="0.25">
      <c r="A97" s="26" t="s">
        <v>129</v>
      </c>
      <c r="B97" t="str" cm="1">
        <f t="array" ref="B97:F97">_xlfn.TEXTSPLIT(A97," ",)</f>
        <v>! </v>
      </c>
      <c r="C97" t="str">
        <v> </v>
      </c>
      <c r="D97" t="str">
        <v> </v>
      </c>
      <c r="E97" t="str">
        <v> </v>
      </c>
      <c r="F97" t="str">
        <v> </v>
      </c>
      <c r="L97" t="str">
        <f t="shared" si="0"/>
        <v>!         </v>
      </c>
      <c r="Q97" t="str">
        <f t="shared" si="1"/>
        <v>!         </v>
      </c>
    </row>
    <row r="98" spans="1:17" ht="20" x14ac:dyDescent="0.25">
      <c r="A98" s="26" t="s">
        <v>138</v>
      </c>
      <c r="B98" t="str" cm="1">
        <f t="array" ref="B98:C98">_xlfn.TEXTSPLIT(A98," ",)</f>
        <v>interface</v>
      </c>
      <c r="C98" t="str">
        <v>Loopback11</v>
      </c>
      <c r="L98" t="str">
        <f t="shared" si="0"/>
        <v>interface Loopback11</v>
      </c>
      <c r="Q98" t="str">
        <f t="shared" si="1"/>
        <v>interface Loopback11</v>
      </c>
    </row>
    <row r="99" spans="1:17" ht="20" x14ac:dyDescent="0.25">
      <c r="A99" s="26" t="s">
        <v>139</v>
      </c>
      <c r="B99" t="str" cm="1">
        <f t="array" ref="B99:G99">_xlfn.TEXTSPLIT(A99," ",)</f>
        <v> description</v>
      </c>
      <c r="C99" t="str">
        <v>source</v>
      </c>
      <c r="D99" t="str">
        <v>for</v>
      </c>
      <c r="E99" t="str">
        <v>interface</v>
      </c>
      <c r="F99" t="str">
        <v>tunnel</v>
      </c>
      <c r="G99" t="str">
        <v>11</v>
      </c>
      <c r="L99" t="str">
        <f t="shared" si="0"/>
        <v> description source for interface tunnel 11</v>
      </c>
      <c r="Q99" t="str">
        <f t="shared" si="1"/>
        <v> description source for interface tunnel 11</v>
      </c>
    </row>
    <row r="100" spans="1:17" ht="20" x14ac:dyDescent="0.25">
      <c r="A100" s="26" t="s">
        <v>201</v>
      </c>
      <c r="B100" t="str" cm="1">
        <f t="array" ref="B100:E100">_xlfn.TEXTSPLIT(A100," ",)</f>
        <v> ip</v>
      </c>
      <c r="C100" t="str">
        <v>address</v>
      </c>
      <c r="D100" t="str">
        <v>100.64.255.11</v>
      </c>
      <c r="E100" t="str">
        <v>255.255.255.255</v>
      </c>
      <c r="L100" t="str">
        <f t="shared" ref="L100:L163" si="6">_xlfn.TEXTJOIN(" ",TRUE,B100,C100,D100,E100,F100,G100,H100,I100,J100)</f>
        <v> ip address 100.64.255.11 255.255.255.255</v>
      </c>
      <c r="Q100" t="str">
        <f t="shared" ref="Q100:Q163" si="7">_xlfn.TEXTJOIN(" ",TRUE,B100,C100,D100,E100,F100,G100,H100,I100,J100)</f>
        <v> ip address 100.64.255.11 255.255.255.255</v>
      </c>
    </row>
    <row r="101" spans="1:17" ht="20" x14ac:dyDescent="0.25">
      <c r="A101" s="26" t="s">
        <v>135</v>
      </c>
      <c r="B101" t="str" cm="1">
        <f t="array" ref="B101:D101">_xlfn.TEXTSPLIT(A101," ",)</f>
        <v> ip</v>
      </c>
      <c r="C101" t="str">
        <v>nat</v>
      </c>
      <c r="D101" t="str">
        <v>inside</v>
      </c>
      <c r="L101" t="str">
        <f t="shared" si="6"/>
        <v> ip nat inside</v>
      </c>
      <c r="Q101" t="str">
        <f t="shared" si="7"/>
        <v> ip nat inside</v>
      </c>
    </row>
    <row r="102" spans="1:17" ht="20" x14ac:dyDescent="0.25">
      <c r="A102" s="26" t="s">
        <v>129</v>
      </c>
      <c r="B102" t="str" cm="1">
        <f t="array" ref="B102:F102">_xlfn.TEXTSPLIT(A102," ",)</f>
        <v>! </v>
      </c>
      <c r="C102" t="str">
        <v> </v>
      </c>
      <c r="D102" t="str">
        <v> </v>
      </c>
      <c r="E102" t="str">
        <v> </v>
      </c>
      <c r="F102" t="str">
        <v> </v>
      </c>
      <c r="L102" t="str">
        <f t="shared" si="6"/>
        <v>!         </v>
      </c>
      <c r="Q102" t="str">
        <f t="shared" si="7"/>
        <v>!         </v>
      </c>
    </row>
    <row r="103" spans="1:17" ht="20" x14ac:dyDescent="0.25">
      <c r="A103" s="26" t="s">
        <v>140</v>
      </c>
      <c r="B103" t="str" cm="1">
        <f t="array" ref="B103:C103">_xlfn.TEXTSPLIT(A103," ",)</f>
        <v>interface</v>
      </c>
      <c r="C103" t="str">
        <v>Loopback12</v>
      </c>
      <c r="L103" t="str">
        <f t="shared" si="6"/>
        <v>interface Loopback12</v>
      </c>
      <c r="Q103" t="str">
        <f t="shared" si="7"/>
        <v>interface Loopback12</v>
      </c>
    </row>
    <row r="104" spans="1:17" ht="20" x14ac:dyDescent="0.25">
      <c r="A104" s="26" t="s">
        <v>141</v>
      </c>
      <c r="B104" t="str" cm="1">
        <f t="array" ref="B104:G104">_xlfn.TEXTSPLIT(A104," ",)</f>
        <v> description</v>
      </c>
      <c r="C104" t="str">
        <v>source</v>
      </c>
      <c r="D104" t="str">
        <v>for</v>
      </c>
      <c r="E104" t="str">
        <v>interface</v>
      </c>
      <c r="F104" t="str">
        <v>tunnel</v>
      </c>
      <c r="G104" t="str">
        <v>12</v>
      </c>
      <c r="L104" t="str">
        <f t="shared" si="6"/>
        <v> description source for interface tunnel 12</v>
      </c>
      <c r="Q104" t="str">
        <f t="shared" si="7"/>
        <v> description source for interface tunnel 12</v>
      </c>
    </row>
    <row r="105" spans="1:17" ht="20" x14ac:dyDescent="0.25">
      <c r="A105" s="26" t="s">
        <v>200</v>
      </c>
      <c r="B105" t="str" cm="1">
        <f t="array" ref="B105:E105">_xlfn.TEXTSPLIT(A105," ",)</f>
        <v> ip</v>
      </c>
      <c r="C105" t="str">
        <v>address</v>
      </c>
      <c r="D105" t="str">
        <v>100.64.255.12</v>
      </c>
      <c r="E105" t="str">
        <v>255.255.255.255</v>
      </c>
      <c r="L105" t="str">
        <f t="shared" si="6"/>
        <v> ip address 100.64.255.12 255.255.255.255</v>
      </c>
      <c r="Q105" t="str">
        <f t="shared" si="7"/>
        <v> ip address 100.64.255.12 255.255.255.255</v>
      </c>
    </row>
    <row r="106" spans="1:17" ht="20" x14ac:dyDescent="0.25">
      <c r="A106" s="26" t="s">
        <v>135</v>
      </c>
      <c r="B106" t="str" cm="1">
        <f t="array" ref="B106:D106">_xlfn.TEXTSPLIT(A106," ",)</f>
        <v> ip</v>
      </c>
      <c r="C106" t="str">
        <v>nat</v>
      </c>
      <c r="D106" t="str">
        <v>inside</v>
      </c>
      <c r="L106" t="str">
        <f t="shared" si="6"/>
        <v> ip nat inside</v>
      </c>
      <c r="Q106" t="str">
        <f t="shared" si="7"/>
        <v> ip nat inside</v>
      </c>
    </row>
    <row r="107" spans="1:17" ht="20" x14ac:dyDescent="0.25">
      <c r="A107" s="26" t="s">
        <v>142</v>
      </c>
      <c r="B107" t="str" cm="1">
        <f t="array" ref="B107:C107">_xlfn.TEXTSPLIT(A107," ",)</f>
        <v>! </v>
      </c>
      <c r="C107" t="str">
        <v> </v>
      </c>
      <c r="L107" t="str">
        <f t="shared" si="6"/>
        <v>!   </v>
      </c>
      <c r="Q107" t="str">
        <f t="shared" si="7"/>
        <v>!   </v>
      </c>
    </row>
    <row r="108" spans="1:17" ht="20" x14ac:dyDescent="0.25">
      <c r="A108" s="26" t="s">
        <v>143</v>
      </c>
      <c r="B108" t="str" cm="1">
        <f t="array" ref="B108:C108">_xlfn.TEXTSPLIT(A108," ",)</f>
        <v>interface</v>
      </c>
      <c r="C108" t="str">
        <v>Tunnel1</v>
      </c>
      <c r="L108" t="str">
        <f t="shared" si="6"/>
        <v>interface Tunnel1</v>
      </c>
      <c r="Q108" t="str">
        <f t="shared" si="7"/>
        <v>interface Tunnel1</v>
      </c>
    </row>
    <row r="109" spans="1:17" ht="20" x14ac:dyDescent="0.25">
      <c r="A109" s="26" t="s">
        <v>202</v>
      </c>
      <c r="B109" t="str" cm="1">
        <f t="array" ref="B109:E109">_xlfn.TEXTSPLIT(A109," ",)</f>
        <v> ip</v>
      </c>
      <c r="C109" t="str">
        <v>address</v>
      </c>
      <c r="D109" t="str">
        <v>X.X.X.X</v>
      </c>
      <c r="E109" t="str">
        <v>255.255.255.255</v>
      </c>
      <c r="L109" t="str">
        <f>_xlfn.TEXTJOIN(" ",TRUE,B109,C109,IPSEC_BGP_XE_CONFIG!D35,E109,F109,G109,H109,I109,J109)</f>
        <v> ip address 10.7.15.64 255.255.255.255</v>
      </c>
      <c r="Q109" t="str">
        <f>_xlfn.TEXTJOIN(" ",TRUE,B109,C109,IPSEC_BGP_XE_CONFIG!D56,E109,F109,G109,H109,I109,J109)</f>
        <v> ip address 10.7.15.32 255.255.255.255</v>
      </c>
    </row>
    <row r="110" spans="1:17" ht="20" x14ac:dyDescent="0.25">
      <c r="A110" s="26" t="s">
        <v>144</v>
      </c>
      <c r="B110" t="str" cm="1">
        <f t="array" ref="B110:E110">_xlfn.TEXTSPLIT(A110," ",)</f>
        <v> ip</v>
      </c>
      <c r="C110" t="str">
        <v>tcp</v>
      </c>
      <c r="D110" t="str">
        <v>adjust-mss</v>
      </c>
      <c r="E110" t="str">
        <v>1350</v>
      </c>
      <c r="L110" t="str">
        <f t="shared" si="6"/>
        <v> ip tcp adjust-mss 1350</v>
      </c>
      <c r="Q110" t="str">
        <f t="shared" si="7"/>
        <v> ip tcp adjust-mss 1350</v>
      </c>
    </row>
    <row r="111" spans="1:17" ht="20" x14ac:dyDescent="0.25">
      <c r="A111" s="26" t="s">
        <v>145</v>
      </c>
      <c r="B111" t="str" cm="1">
        <f t="array" ref="B111:D111">_xlfn.TEXTSPLIT(A111," ",)</f>
        <v> tunnel</v>
      </c>
      <c r="C111" t="str">
        <v>source</v>
      </c>
      <c r="D111" t="str">
        <v>Loopback1</v>
      </c>
      <c r="L111" t="str">
        <f t="shared" si="6"/>
        <v> tunnel source Loopback1</v>
      </c>
      <c r="Q111" t="str">
        <f t="shared" si="7"/>
        <v> tunnel source Loopback1</v>
      </c>
    </row>
    <row r="112" spans="1:17" ht="20" x14ac:dyDescent="0.25">
      <c r="A112" s="26" t="s">
        <v>146</v>
      </c>
      <c r="B112" t="str" cm="1">
        <f t="array" ref="B112:E112">_xlfn.TEXTSPLIT(A112," ",)</f>
        <v> tunnel</v>
      </c>
      <c r="C112" t="str">
        <v>mode</v>
      </c>
      <c r="D112" t="str">
        <v>ipsec</v>
      </c>
      <c r="E112" t="str">
        <v>ipv4</v>
      </c>
      <c r="L112" t="str">
        <f t="shared" si="6"/>
        <v> tunnel mode ipsec ipv4</v>
      </c>
      <c r="Q112" t="str">
        <f t="shared" si="7"/>
        <v> tunnel mode ipsec ipv4</v>
      </c>
    </row>
    <row r="113" spans="1:17" ht="20" x14ac:dyDescent="0.25">
      <c r="A113" s="26" t="s">
        <v>203</v>
      </c>
      <c r="B113" t="str" cm="1">
        <f t="array" ref="B113:D113">_xlfn.TEXTSPLIT(A113," ",)</f>
        <v> tunnel</v>
      </c>
      <c r="C113" t="str">
        <v>destination</v>
      </c>
      <c r="D113" t="str">
        <v>X.X.X.X</v>
      </c>
      <c r="L113" t="str">
        <f>_xlfn.TEXTJOIN(" ",TRUE,B113,C113,IPSEC_BGP_XE_CONFIG!C8,E113,F113,G113,H113,I113,J113)</f>
        <v> tunnel destination 3.141.141.165</v>
      </c>
      <c r="Q113" t="str">
        <f>_xlfn.TEXTJOIN(" ",TRUE,B113,C113,IPSEC_BGP_XE_CONFIG!C20,E113,F113,G113,H113,I113,J113)</f>
        <v> tunnel destination 3.141.141.165</v>
      </c>
    </row>
    <row r="114" spans="1:17" ht="20" x14ac:dyDescent="0.25">
      <c r="A114" s="26" t="s">
        <v>147</v>
      </c>
      <c r="B114" t="str" cm="1">
        <f t="array" ref="B114:F114">_xlfn.TEXTSPLIT(A114," ",)</f>
        <v> tunnel</v>
      </c>
      <c r="C114" t="str">
        <v>protection</v>
      </c>
      <c r="D114" t="str">
        <v>ipsec</v>
      </c>
      <c r="E114" t="str">
        <v>profile</v>
      </c>
      <c r="F114" t="str">
        <v>sse-ipsec-primary-1</v>
      </c>
      <c r="L114" t="str">
        <f t="shared" si="6"/>
        <v> tunnel protection ipsec profile sse-ipsec-primary-1</v>
      </c>
      <c r="Q114" t="str">
        <f t="shared" si="7"/>
        <v> tunnel protection ipsec profile sse-ipsec-primary-1</v>
      </c>
    </row>
    <row r="115" spans="1:17" ht="20" x14ac:dyDescent="0.25">
      <c r="A115" s="26" t="s">
        <v>129</v>
      </c>
      <c r="B115" t="str" cm="1">
        <f t="array" ref="B115:F115">_xlfn.TEXTSPLIT(A115," ",)</f>
        <v>! </v>
      </c>
      <c r="C115" t="str">
        <v> </v>
      </c>
      <c r="D115" t="str">
        <v> </v>
      </c>
      <c r="E115" t="str">
        <v> </v>
      </c>
      <c r="F115" t="str">
        <v> </v>
      </c>
      <c r="L115" t="str">
        <f t="shared" si="6"/>
        <v>!         </v>
      </c>
      <c r="Q115" t="str">
        <f t="shared" si="7"/>
        <v>!         </v>
      </c>
    </row>
    <row r="116" spans="1:17" ht="20" x14ac:dyDescent="0.25">
      <c r="A116" s="26" t="s">
        <v>148</v>
      </c>
      <c r="B116" t="str" cm="1">
        <f t="array" ref="B116:C116">_xlfn.TEXTSPLIT(A116," ",)</f>
        <v>interface</v>
      </c>
      <c r="C116" t="str">
        <v>Tunnel2</v>
      </c>
      <c r="L116" t="str">
        <f t="shared" si="6"/>
        <v>interface Tunnel2</v>
      </c>
      <c r="Q116" t="str">
        <f t="shared" si="7"/>
        <v>interface Tunnel2</v>
      </c>
    </row>
    <row r="117" spans="1:17" ht="20" x14ac:dyDescent="0.25">
      <c r="A117" s="26" t="s">
        <v>202</v>
      </c>
      <c r="B117" t="str" cm="1">
        <f t="array" ref="B117:E117">_xlfn.TEXTSPLIT(A117," ",)</f>
        <v> ip</v>
      </c>
      <c r="C117" t="str">
        <v>address</v>
      </c>
      <c r="D117" t="str">
        <v>X.X.X.X</v>
      </c>
      <c r="E117" t="str">
        <v>255.255.255.255</v>
      </c>
      <c r="L117" t="str">
        <f>_xlfn.TEXTJOIN(" ",TRUE,B117,C117,IPSEC_BGP_XE_CONFIG!D36,E117,F117,G117,H117,I117,J117)</f>
        <v> ip address 10.7.15.65 255.255.255.255</v>
      </c>
      <c r="Q117" t="str">
        <f>_xlfn.TEXTJOIN(" ",TRUE,B117,C117,IPSEC_BGP_XE_CONFIG!D57,E117,F117,G117,H117,I117,J117)</f>
        <v> ip address 10.7.15.33 255.255.255.255</v>
      </c>
    </row>
    <row r="118" spans="1:17" ht="20" x14ac:dyDescent="0.25">
      <c r="A118" s="26" t="s">
        <v>144</v>
      </c>
      <c r="B118" t="str" cm="1">
        <f t="array" ref="B118:E118">_xlfn.TEXTSPLIT(A118," ",)</f>
        <v> ip</v>
      </c>
      <c r="C118" t="str">
        <v>tcp</v>
      </c>
      <c r="D118" t="str">
        <v>adjust-mss</v>
      </c>
      <c r="E118" t="str">
        <v>1350</v>
      </c>
      <c r="L118" t="str">
        <f t="shared" si="6"/>
        <v> ip tcp adjust-mss 1350</v>
      </c>
      <c r="Q118" t="str">
        <f t="shared" si="7"/>
        <v> ip tcp adjust-mss 1350</v>
      </c>
    </row>
    <row r="119" spans="1:17" ht="20" x14ac:dyDescent="0.25">
      <c r="A119" s="26" t="s">
        <v>149</v>
      </c>
      <c r="B119" t="str" cm="1">
        <f t="array" ref="B119:D119">_xlfn.TEXTSPLIT(A119," ",)</f>
        <v> tunnel</v>
      </c>
      <c r="C119" t="str">
        <v>source</v>
      </c>
      <c r="D119" t="str">
        <v>Loopback2</v>
      </c>
      <c r="L119" t="str">
        <f t="shared" si="6"/>
        <v> tunnel source Loopback2</v>
      </c>
      <c r="Q119" t="str">
        <f t="shared" si="7"/>
        <v> tunnel source Loopback2</v>
      </c>
    </row>
    <row r="120" spans="1:17" ht="20" x14ac:dyDescent="0.25">
      <c r="A120" s="26" t="s">
        <v>146</v>
      </c>
      <c r="B120" t="str" cm="1">
        <f t="array" ref="B120:E120">_xlfn.TEXTSPLIT(A120," ",)</f>
        <v> tunnel</v>
      </c>
      <c r="C120" t="str">
        <v>mode</v>
      </c>
      <c r="D120" t="str">
        <v>ipsec</v>
      </c>
      <c r="E120" t="str">
        <v>ipv4</v>
      </c>
      <c r="L120" t="str">
        <f t="shared" si="6"/>
        <v> tunnel mode ipsec ipv4</v>
      </c>
      <c r="Q120" t="str">
        <f t="shared" si="7"/>
        <v> tunnel mode ipsec ipv4</v>
      </c>
    </row>
    <row r="121" spans="1:17" ht="20" x14ac:dyDescent="0.25">
      <c r="A121" s="26" t="s">
        <v>203</v>
      </c>
      <c r="B121" t="str" cm="1">
        <f t="array" ref="B121:D121">_xlfn.TEXTSPLIT(A121," ",)</f>
        <v> tunnel</v>
      </c>
      <c r="C121" t="str">
        <v>destination</v>
      </c>
      <c r="D121" t="str">
        <v>X.X.X.X</v>
      </c>
      <c r="L121" t="str">
        <f>_xlfn.TEXTJOIN(" ",TRUE,B121,C121,IPSEC_BGP_XE_CONFIG!C8,E121,F121,G121,H121,I121,J121)</f>
        <v> tunnel destination 3.141.141.165</v>
      </c>
      <c r="Q121" t="str">
        <f>_xlfn.TEXTJOIN(" ",TRUE,B121,C121,IPSEC_BGP_XE_CONFIG!C20,E121,F121,G121,H121,I121,J121)</f>
        <v> tunnel destination 3.141.141.165</v>
      </c>
    </row>
    <row r="122" spans="1:17" ht="20" x14ac:dyDescent="0.25">
      <c r="A122" s="26" t="s">
        <v>150</v>
      </c>
      <c r="B122" t="str" cm="1">
        <f t="array" ref="B122:F122">_xlfn.TEXTSPLIT(A122," ",)</f>
        <v> tunnel</v>
      </c>
      <c r="C122" t="str">
        <v>protection</v>
      </c>
      <c r="D122" t="str">
        <v>ipsec</v>
      </c>
      <c r="E122" t="str">
        <v>profile</v>
      </c>
      <c r="F122" t="str">
        <v>sse-ipsec-primary-2</v>
      </c>
      <c r="L122" t="str">
        <f t="shared" si="6"/>
        <v> tunnel protection ipsec profile sse-ipsec-primary-2</v>
      </c>
      <c r="Q122" t="str">
        <f t="shared" si="7"/>
        <v> tunnel protection ipsec profile sse-ipsec-primary-2</v>
      </c>
    </row>
    <row r="123" spans="1:17" ht="20" x14ac:dyDescent="0.25">
      <c r="A123" s="26" t="s">
        <v>129</v>
      </c>
      <c r="B123" t="str" cm="1">
        <f t="array" ref="B123:F123">_xlfn.TEXTSPLIT(A123," ",)</f>
        <v>! </v>
      </c>
      <c r="C123" t="str">
        <v> </v>
      </c>
      <c r="D123" t="str">
        <v> </v>
      </c>
      <c r="E123" t="str">
        <v> </v>
      </c>
      <c r="F123" t="str">
        <v> </v>
      </c>
      <c r="L123" t="str">
        <f t="shared" si="6"/>
        <v>!         </v>
      </c>
      <c r="Q123" t="str">
        <f t="shared" si="7"/>
        <v>!         </v>
      </c>
    </row>
    <row r="124" spans="1:17" ht="20" x14ac:dyDescent="0.25">
      <c r="A124" s="26" t="s">
        <v>151</v>
      </c>
      <c r="B124" t="str" cm="1">
        <f t="array" ref="B124:C124">_xlfn.TEXTSPLIT(A124," ",)</f>
        <v>interface</v>
      </c>
      <c r="C124" t="str">
        <v>Tunnel11</v>
      </c>
      <c r="L124" t="str">
        <f t="shared" si="6"/>
        <v>interface Tunnel11</v>
      </c>
      <c r="Q124" t="str">
        <f t="shared" si="7"/>
        <v>interface Tunnel11</v>
      </c>
    </row>
    <row r="125" spans="1:17" ht="20" x14ac:dyDescent="0.25">
      <c r="A125" s="26" t="s">
        <v>202</v>
      </c>
      <c r="B125" t="str" cm="1">
        <f t="array" ref="B125:E125">_xlfn.TEXTSPLIT(A125," ",)</f>
        <v> ip</v>
      </c>
      <c r="C125" t="str">
        <v>address</v>
      </c>
      <c r="D125" t="str">
        <v>X.X.X.X</v>
      </c>
      <c r="E125" t="str">
        <v>255.255.255.255</v>
      </c>
      <c r="L125" t="str">
        <f>_xlfn.TEXTJOIN(" ",TRUE,B125,C125,IPSEC_BGP_XE_CONFIG!D45,E125,F125,G125,H125,I125,J125)</f>
        <v> ip address 10.7.15.74 255.255.255.255</v>
      </c>
      <c r="Q125" t="str">
        <f>_xlfn.TEXTJOIN(" ",TRUE,B125,C125,IPSEC_BGP_XE_CONFIG!D66,E125,F125,G125,H125,I125,J125)</f>
        <v> ip address 10.7.15.42 255.255.255.255</v>
      </c>
    </row>
    <row r="126" spans="1:17" ht="20" x14ac:dyDescent="0.25">
      <c r="A126" s="26" t="s">
        <v>144</v>
      </c>
      <c r="B126" t="str" cm="1">
        <f t="array" ref="B126:E126">_xlfn.TEXTSPLIT(A126," ",)</f>
        <v> ip</v>
      </c>
      <c r="C126" t="str">
        <v>tcp</v>
      </c>
      <c r="D126" t="str">
        <v>adjust-mss</v>
      </c>
      <c r="E126" t="str">
        <v>1350</v>
      </c>
      <c r="L126" t="str">
        <f t="shared" si="6"/>
        <v> ip tcp adjust-mss 1350</v>
      </c>
      <c r="Q126" t="str">
        <f t="shared" si="7"/>
        <v> ip tcp adjust-mss 1350</v>
      </c>
    </row>
    <row r="127" spans="1:17" ht="20" x14ac:dyDescent="0.25">
      <c r="A127" s="26" t="s">
        <v>152</v>
      </c>
      <c r="B127" t="str" cm="1">
        <f t="array" ref="B127:D127">_xlfn.TEXTSPLIT(A127," ",)</f>
        <v> tunnel</v>
      </c>
      <c r="C127" t="str">
        <v>source</v>
      </c>
      <c r="D127" t="str">
        <v>Loopback11</v>
      </c>
      <c r="L127" t="str">
        <f t="shared" si="6"/>
        <v> tunnel source Loopback11</v>
      </c>
      <c r="Q127" t="str">
        <f t="shared" si="7"/>
        <v> tunnel source Loopback11</v>
      </c>
    </row>
    <row r="128" spans="1:17" ht="20" x14ac:dyDescent="0.25">
      <c r="A128" s="26" t="s">
        <v>146</v>
      </c>
      <c r="B128" t="str" cm="1">
        <f t="array" ref="B128:E128">_xlfn.TEXTSPLIT(A128," ",)</f>
        <v> tunnel</v>
      </c>
      <c r="C128" t="str">
        <v>mode</v>
      </c>
      <c r="D128" t="str">
        <v>ipsec</v>
      </c>
      <c r="E128" t="str">
        <v>ipv4</v>
      </c>
      <c r="L128" t="str">
        <f t="shared" si="6"/>
        <v> tunnel mode ipsec ipv4</v>
      </c>
      <c r="Q128" t="str">
        <f t="shared" si="7"/>
        <v> tunnel mode ipsec ipv4</v>
      </c>
    </row>
    <row r="129" spans="1:17" ht="20" x14ac:dyDescent="0.25">
      <c r="A129" s="26" t="s">
        <v>203</v>
      </c>
      <c r="B129" t="str" cm="1">
        <f t="array" ref="B129:D129">_xlfn.TEXTSPLIT(A129," ",)</f>
        <v> tunnel</v>
      </c>
      <c r="C129" t="str">
        <v>destination</v>
      </c>
      <c r="D129" t="str">
        <v>X.X.X.X</v>
      </c>
      <c r="L129" t="str">
        <f>_xlfn.TEXTJOIN(" ",TRUE,B129,C129,IPSEC_BGP_XE_CONFIG!C12,E129,F129,G129,H129,I129,J129)</f>
        <v> tunnel destination 3.140.13.195</v>
      </c>
      <c r="Q129" t="str">
        <f>_xlfn.TEXTJOIN(" ",TRUE,B129,C129,IPSEC_BGP_XE_CONFIG!C24,E129,F129,G129,H129,I129,J129)</f>
        <v> tunnel destination 3.140.13.195</v>
      </c>
    </row>
    <row r="130" spans="1:17" ht="20" x14ac:dyDescent="0.25">
      <c r="A130" s="26" t="s">
        <v>153</v>
      </c>
      <c r="B130" t="str" cm="1">
        <f t="array" ref="B130:F130">_xlfn.TEXTSPLIT(A130," ",)</f>
        <v> tunnel</v>
      </c>
      <c r="C130" t="str">
        <v>protection</v>
      </c>
      <c r="D130" t="str">
        <v>ipsec</v>
      </c>
      <c r="E130" t="str">
        <v>profile</v>
      </c>
      <c r="F130" t="str">
        <v>sse-ipsec-secondary-1</v>
      </c>
      <c r="L130" t="str">
        <f t="shared" si="6"/>
        <v> tunnel protection ipsec profile sse-ipsec-secondary-1</v>
      </c>
      <c r="Q130" t="str">
        <f t="shared" si="7"/>
        <v> tunnel protection ipsec profile sse-ipsec-secondary-1</v>
      </c>
    </row>
    <row r="131" spans="1:17" ht="20" x14ac:dyDescent="0.25">
      <c r="A131" s="26" t="s">
        <v>117</v>
      </c>
      <c r="B131" t="str" cm="1">
        <f t="array" ref="B131">_xlfn.TEXTSPLIT(A131," ",)</f>
        <v>!</v>
      </c>
      <c r="L131" t="str">
        <f t="shared" si="6"/>
        <v>!</v>
      </c>
      <c r="Q131" t="str">
        <f t="shared" si="7"/>
        <v>!</v>
      </c>
    </row>
    <row r="132" spans="1:17" ht="20" x14ac:dyDescent="0.25">
      <c r="A132" s="26" t="s">
        <v>154</v>
      </c>
      <c r="B132" t="str" cm="1">
        <f t="array" ref="B132:C132">_xlfn.TEXTSPLIT(A132," ",)</f>
        <v>interface</v>
      </c>
      <c r="C132" t="str">
        <v>Tunnel12</v>
      </c>
      <c r="L132" t="str">
        <f t="shared" si="6"/>
        <v>interface Tunnel12</v>
      </c>
      <c r="Q132" t="str">
        <f t="shared" si="7"/>
        <v>interface Tunnel12</v>
      </c>
    </row>
    <row r="133" spans="1:17" ht="20" x14ac:dyDescent="0.25">
      <c r="A133" s="26" t="s">
        <v>202</v>
      </c>
      <c r="B133" t="str" cm="1">
        <f t="array" ref="B133:E133">_xlfn.TEXTSPLIT(A133," ",)</f>
        <v> ip</v>
      </c>
      <c r="C133" t="str">
        <v>address</v>
      </c>
      <c r="D133" t="str">
        <v>X.X.X.X</v>
      </c>
      <c r="E133" t="str">
        <v>255.255.255.255</v>
      </c>
      <c r="L133" t="str">
        <f>_xlfn.TEXTJOIN(" ",TRUE,B133,C133,IPSEC_BGP_XE_CONFIG!D46,E133,F133,G133,H133,I133,J133)</f>
        <v> ip address 10.7.15.75 255.255.255.255</v>
      </c>
      <c r="Q133" t="str">
        <f>_xlfn.TEXTJOIN(" ",TRUE,B133,C133,IPSEC_BGP_XE_CONFIG!D67,E133,F133,G133,H133,I133,J133)</f>
        <v> ip address 10.7.15.43 255.255.255.255</v>
      </c>
    </row>
    <row r="134" spans="1:17" ht="20" x14ac:dyDescent="0.25">
      <c r="A134" s="26" t="s">
        <v>144</v>
      </c>
      <c r="B134" t="str" cm="1">
        <f t="array" ref="B134:E134">_xlfn.TEXTSPLIT(A134," ",)</f>
        <v> ip</v>
      </c>
      <c r="C134" t="str">
        <v>tcp</v>
      </c>
      <c r="D134" t="str">
        <v>adjust-mss</v>
      </c>
      <c r="E134" t="str">
        <v>1350</v>
      </c>
      <c r="L134" t="str">
        <f t="shared" si="6"/>
        <v> ip tcp adjust-mss 1350</v>
      </c>
      <c r="Q134" t="str">
        <f t="shared" si="7"/>
        <v> ip tcp adjust-mss 1350</v>
      </c>
    </row>
    <row r="135" spans="1:17" ht="20" x14ac:dyDescent="0.25">
      <c r="A135" s="26" t="s">
        <v>155</v>
      </c>
      <c r="B135" t="str" cm="1">
        <f t="array" ref="B135:D135">_xlfn.TEXTSPLIT(A135," ",)</f>
        <v> tunnel</v>
      </c>
      <c r="C135" t="str">
        <v>source</v>
      </c>
      <c r="D135" t="str">
        <v>Loopback12</v>
      </c>
      <c r="L135" t="str">
        <f t="shared" si="6"/>
        <v> tunnel source Loopback12</v>
      </c>
      <c r="Q135" t="str">
        <f t="shared" si="7"/>
        <v> tunnel source Loopback12</v>
      </c>
    </row>
    <row r="136" spans="1:17" ht="20" x14ac:dyDescent="0.25">
      <c r="A136" s="26" t="s">
        <v>146</v>
      </c>
      <c r="B136" t="str" cm="1">
        <f t="array" ref="B136:E136">_xlfn.TEXTSPLIT(A136," ",)</f>
        <v> tunnel</v>
      </c>
      <c r="C136" t="str">
        <v>mode</v>
      </c>
      <c r="D136" t="str">
        <v>ipsec</v>
      </c>
      <c r="E136" t="str">
        <v>ipv4</v>
      </c>
      <c r="L136" t="str">
        <f t="shared" si="6"/>
        <v> tunnel mode ipsec ipv4</v>
      </c>
      <c r="Q136" t="str">
        <f t="shared" si="7"/>
        <v> tunnel mode ipsec ipv4</v>
      </c>
    </row>
    <row r="137" spans="1:17" ht="20" x14ac:dyDescent="0.25">
      <c r="A137" s="26" t="s">
        <v>203</v>
      </c>
      <c r="B137" t="str" cm="1">
        <f t="array" ref="B137:D137">_xlfn.TEXTSPLIT(A137," ",)</f>
        <v> tunnel</v>
      </c>
      <c r="C137" t="str">
        <v>destination</v>
      </c>
      <c r="D137" t="str">
        <v>X.X.X.X</v>
      </c>
      <c r="L137" t="str">
        <f>_xlfn.TEXTJOIN(" ",TRUE,B137,C137,IPSEC_BGP_XE_CONFIG!C12,E137,F137,G137,H137,I137,J137)</f>
        <v> tunnel destination 3.140.13.195</v>
      </c>
      <c r="Q137" t="str">
        <f>_xlfn.TEXTJOIN(" ",TRUE,B137,C137,IPSEC_BGP_XE_CONFIG!C24,E137,F137,G137,H137,I137,J137)</f>
        <v> tunnel destination 3.140.13.195</v>
      </c>
    </row>
    <row r="138" spans="1:17" ht="20" x14ac:dyDescent="0.25">
      <c r="A138" s="26" t="s">
        <v>156</v>
      </c>
      <c r="B138" t="str" cm="1">
        <f t="array" ref="B138:F138">_xlfn.TEXTSPLIT(A138," ",)</f>
        <v> tunnel</v>
      </c>
      <c r="C138" t="str">
        <v>protection</v>
      </c>
      <c r="D138" t="str">
        <v>ipsec</v>
      </c>
      <c r="E138" t="str">
        <v>profile</v>
      </c>
      <c r="F138" t="str">
        <v>sse-ipsec-secondary-2</v>
      </c>
      <c r="L138" t="str">
        <f t="shared" si="6"/>
        <v> tunnel protection ipsec profile sse-ipsec-secondary-2</v>
      </c>
      <c r="Q138" t="str">
        <f t="shared" si="7"/>
        <v> tunnel protection ipsec profile sse-ipsec-secondary-2</v>
      </c>
    </row>
    <row r="139" spans="1:17" ht="20" x14ac:dyDescent="0.25">
      <c r="A139" s="26" t="s">
        <v>117</v>
      </c>
      <c r="B139" t="str" cm="1">
        <f t="array" ref="B139">_xlfn.TEXTSPLIT(A139," ",)</f>
        <v>!</v>
      </c>
      <c r="L139" t="str">
        <f t="shared" si="6"/>
        <v>!</v>
      </c>
      <c r="Q139" t="str">
        <f t="shared" si="7"/>
        <v>!</v>
      </c>
    </row>
    <row r="140" spans="1:17" ht="20" x14ac:dyDescent="0.25">
      <c r="A140" s="26" t="s">
        <v>157</v>
      </c>
      <c r="B140" t="str" cm="1">
        <f t="array" ref="B140:C140">_xlfn.TEXTSPLIT(A140," ",)</f>
        <v>interface</v>
      </c>
      <c r="C140" t="str">
        <v>GigabitEthernet1</v>
      </c>
      <c r="L140" t="str">
        <f t="shared" si="6"/>
        <v>interface GigabitEthernet1</v>
      </c>
      <c r="Q140" t="str">
        <f t="shared" si="7"/>
        <v>interface GigabitEthernet1</v>
      </c>
    </row>
    <row r="141" spans="1:17" ht="20" x14ac:dyDescent="0.25">
      <c r="A141" s="26" t="s">
        <v>158</v>
      </c>
      <c r="B141" t="str" cm="1">
        <f t="array" ref="B141:D141">_xlfn.TEXTSPLIT(A141," ",)</f>
        <v> ip</v>
      </c>
      <c r="C141" t="str">
        <v>nat</v>
      </c>
      <c r="D141" t="str">
        <v>outside</v>
      </c>
      <c r="L141" t="str">
        <f t="shared" si="6"/>
        <v> ip nat outside</v>
      </c>
      <c r="Q141" t="str">
        <f t="shared" si="7"/>
        <v> ip nat outside</v>
      </c>
    </row>
    <row r="142" spans="1:17" x14ac:dyDescent="0.2">
      <c r="L142" t="str">
        <f t="shared" si="6"/>
        <v/>
      </c>
      <c r="Q142" t="str">
        <f t="shared" si="7"/>
        <v/>
      </c>
    </row>
    <row r="143" spans="1:17" ht="20" x14ac:dyDescent="0.25">
      <c r="A143" s="26" t="s">
        <v>204</v>
      </c>
      <c r="B143" t="str" cm="1">
        <f t="array" ref="B143:D143">_xlfn.TEXTSPLIT(A143," ",)</f>
        <v>router</v>
      </c>
      <c r="C143" t="str">
        <v>bgp</v>
      </c>
      <c r="D143" t="str">
        <v>XXXXX</v>
      </c>
      <c r="L143" t="str">
        <f>_xlfn.TEXTJOIN(" ",TRUE,B143,C143,IPSEC_BGP_XE_CONFIG!C17,E143,F143,G143,H143,I143,J143)</f>
        <v>router bgp 65461</v>
      </c>
      <c r="Q143" t="str">
        <f>_xlfn.TEXTJOIN(" ",TRUE,B143,C143,IPSEC_BGP_XE_CONFIG!C29,E143,F143,G143,H143,I143,J143)</f>
        <v>router bgp 64517</v>
      </c>
    </row>
    <row r="144" spans="1:17" ht="20" x14ac:dyDescent="0.25">
      <c r="A144" s="26" t="s">
        <v>205</v>
      </c>
      <c r="B144" t="str" cm="1">
        <f t="array" ref="B144:D144">_xlfn.TEXTSPLIT(A144," ",)</f>
        <v> bgp</v>
      </c>
      <c r="C144" t="str">
        <v>router-id</v>
      </c>
      <c r="D144" t="str">
        <v>X.X.X.X</v>
      </c>
      <c r="L144" t="str">
        <f>_xlfn.TEXTJOIN(" ",TRUE,B144,C144,IPSEC_BGP_XE_CONFIG!C16,E144,F144,G144,H144,I144,J144)</f>
        <v> bgp router-id 10.255.0.5</v>
      </c>
      <c r="Q144" t="str">
        <f>_xlfn.TEXTJOIN(" ",TRUE,B144,C144,IPSEC_BGP_XE_CONFIG!C28,E144,F144,G144,H144,I144,J144)</f>
        <v> bgp router-id 10.53.0.198</v>
      </c>
    </row>
    <row r="145" spans="1:17" ht="20" x14ac:dyDescent="0.25">
      <c r="A145" s="26" t="s">
        <v>159</v>
      </c>
      <c r="B145" t="str" cm="1">
        <f t="array" ref="B145:C145">_xlfn.TEXTSPLIT(A145," ",)</f>
        <v> bgp</v>
      </c>
      <c r="C145" t="str">
        <v>log-neighbor-changes</v>
      </c>
      <c r="L145" t="str">
        <f t="shared" si="6"/>
        <v> bgp log-neighbor-changes</v>
      </c>
      <c r="Q145" t="str">
        <f t="shared" si="7"/>
        <v> bgp log-neighbor-changes</v>
      </c>
    </row>
    <row r="146" spans="1:17" ht="20" x14ac:dyDescent="0.25">
      <c r="A146" s="26" t="s">
        <v>206</v>
      </c>
      <c r="B146" t="str" cm="1">
        <f t="array" ref="B146:D146">_xlfn.TEXTSPLIT(A146," ",)</f>
        <v> neighbor</v>
      </c>
      <c r="C146" t="str">
        <v>CISCO_SSE</v>
      </c>
      <c r="D146" t="str">
        <v>peer-group</v>
      </c>
      <c r="L146" t="str">
        <f t="shared" si="6"/>
        <v> neighbor CISCO_SSE peer-group</v>
      </c>
      <c r="Q146" t="str">
        <f t="shared" si="7"/>
        <v> neighbor CISCO_SSE peer-group</v>
      </c>
    </row>
    <row r="147" spans="1:17" ht="20" x14ac:dyDescent="0.25">
      <c r="A147" s="26" t="s">
        <v>207</v>
      </c>
      <c r="B147" t="str" cm="1">
        <f t="array" ref="B147:E147">_xlfn.TEXTSPLIT(A147," ",)</f>
        <v> neighbor</v>
      </c>
      <c r="C147" t="str">
        <v>CISCO_SSE</v>
      </c>
      <c r="D147" t="str">
        <v>remote-as</v>
      </c>
      <c r="E147" t="str">
        <v>32644</v>
      </c>
      <c r="L147" t="str">
        <f t="shared" si="6"/>
        <v> neighbor CISCO_SSE remote-as 32644</v>
      </c>
      <c r="Q147" t="str">
        <f t="shared" si="7"/>
        <v> neighbor CISCO_SSE remote-as 32644</v>
      </c>
    </row>
    <row r="148" spans="1:17" ht="20" x14ac:dyDescent="0.25">
      <c r="A148" s="26" t="s">
        <v>208</v>
      </c>
      <c r="B148" t="str" cm="1">
        <f t="array" ref="B148:E148">_xlfn.TEXTSPLIT(A148," ",)</f>
        <v> neighbor</v>
      </c>
      <c r="C148" t="str">
        <v>169.254.0.1</v>
      </c>
      <c r="D148" t="str">
        <v>peer-group</v>
      </c>
      <c r="E148" t="str">
        <v>CISCO_SSE</v>
      </c>
      <c r="L148" t="str">
        <f t="shared" si="6"/>
        <v> neighbor 169.254.0.1 peer-group CISCO_SSE</v>
      </c>
      <c r="Q148" t="str">
        <f t="shared" si="7"/>
        <v> neighbor 169.254.0.1 peer-group CISCO_SSE</v>
      </c>
    </row>
    <row r="149" spans="1:17" ht="20" x14ac:dyDescent="0.25">
      <c r="A149" s="26" t="s">
        <v>160</v>
      </c>
      <c r="B149" t="str" cm="1">
        <f t="array" ref="B149:E149">_xlfn.TEXTSPLIT(A149," ",)</f>
        <v> neighbor</v>
      </c>
      <c r="C149" t="str">
        <v>169.254.0.1</v>
      </c>
      <c r="D149" t="str">
        <v>ebgp-multihop</v>
      </c>
      <c r="E149" t="str">
        <v>255</v>
      </c>
      <c r="L149" t="str">
        <f t="shared" si="6"/>
        <v> neighbor 169.254.0.1 ebgp-multihop 255</v>
      </c>
      <c r="Q149" t="str">
        <f t="shared" si="7"/>
        <v> neighbor 169.254.0.1 ebgp-multihop 255</v>
      </c>
    </row>
    <row r="150" spans="1:17" ht="20" x14ac:dyDescent="0.25">
      <c r="A150" s="26" t="s">
        <v>161</v>
      </c>
      <c r="B150" t="str" cm="1">
        <f t="array" ref="B150:E150">_xlfn.TEXTSPLIT(A150," ",)</f>
        <v> neighbor</v>
      </c>
      <c r="C150" t="str">
        <v>169.254.0.1</v>
      </c>
      <c r="D150" t="str">
        <v>update-source</v>
      </c>
      <c r="E150" t="str">
        <v>Tunnel1</v>
      </c>
      <c r="L150" t="str">
        <f t="shared" si="6"/>
        <v> neighbor 169.254.0.1 update-source Tunnel1</v>
      </c>
      <c r="Q150" t="str">
        <f t="shared" si="7"/>
        <v> neighbor 169.254.0.1 update-source Tunnel1</v>
      </c>
    </row>
    <row r="151" spans="1:17" ht="20" x14ac:dyDescent="0.25">
      <c r="A151" s="26" t="s">
        <v>209</v>
      </c>
      <c r="B151" t="str" cm="1">
        <f t="array" ref="B151:E151">_xlfn.TEXTSPLIT(A151," ",)</f>
        <v> neighbor</v>
      </c>
      <c r="C151" t="str">
        <v>169.254.0.2</v>
      </c>
      <c r="D151" t="str">
        <v>peer-group</v>
      </c>
      <c r="E151" t="str">
        <v>CISCO_SSE</v>
      </c>
      <c r="L151" t="str">
        <f t="shared" si="6"/>
        <v> neighbor 169.254.0.2 peer-group CISCO_SSE</v>
      </c>
      <c r="Q151" t="str">
        <f t="shared" si="7"/>
        <v> neighbor 169.254.0.2 peer-group CISCO_SSE</v>
      </c>
    </row>
    <row r="152" spans="1:17" ht="20" x14ac:dyDescent="0.25">
      <c r="A152" s="26" t="s">
        <v>162</v>
      </c>
      <c r="B152" t="str" cm="1">
        <f t="array" ref="B152:E152">_xlfn.TEXTSPLIT(A152," ",)</f>
        <v> neighbor</v>
      </c>
      <c r="C152" t="str">
        <v>169.254.0.2</v>
      </c>
      <c r="D152" t="str">
        <v>ebgp-multihop</v>
      </c>
      <c r="E152" t="str">
        <v>255</v>
      </c>
      <c r="L152" t="str">
        <f t="shared" si="6"/>
        <v> neighbor 169.254.0.2 ebgp-multihop 255</v>
      </c>
      <c r="Q152" t="str">
        <f t="shared" si="7"/>
        <v> neighbor 169.254.0.2 ebgp-multihop 255</v>
      </c>
    </row>
    <row r="153" spans="1:17" ht="20" x14ac:dyDescent="0.25">
      <c r="A153" s="26" t="s">
        <v>163</v>
      </c>
      <c r="B153" t="str" cm="1">
        <f t="array" ref="B153:E153">_xlfn.TEXTSPLIT(A153," ",)</f>
        <v> neighbor</v>
      </c>
      <c r="C153" t="str">
        <v>169.254.0.2</v>
      </c>
      <c r="D153" t="str">
        <v>update-source</v>
      </c>
      <c r="E153" t="str">
        <v>Tunnel2</v>
      </c>
      <c r="L153" t="str">
        <f t="shared" si="6"/>
        <v> neighbor 169.254.0.2 update-source Tunnel2</v>
      </c>
      <c r="Q153" t="str">
        <f t="shared" si="7"/>
        <v> neighbor 169.254.0.2 update-source Tunnel2</v>
      </c>
    </row>
    <row r="154" spans="1:17" ht="20" x14ac:dyDescent="0.25">
      <c r="A154" s="26" t="s">
        <v>210</v>
      </c>
      <c r="B154" t="str" cm="1">
        <f t="array" ref="B154:E154">_xlfn.TEXTSPLIT(A154," ",)</f>
        <v> neighbor</v>
      </c>
      <c r="C154" t="str">
        <v>169.254.0.11</v>
      </c>
      <c r="D154" t="str">
        <v>peer-group</v>
      </c>
      <c r="E154" t="str">
        <v>CISCO_SSE</v>
      </c>
      <c r="L154" t="str">
        <f t="shared" si="6"/>
        <v> neighbor 169.254.0.11 peer-group CISCO_SSE</v>
      </c>
      <c r="Q154" t="str">
        <f t="shared" si="7"/>
        <v> neighbor 169.254.0.11 peer-group CISCO_SSE</v>
      </c>
    </row>
    <row r="155" spans="1:17" ht="20" x14ac:dyDescent="0.25">
      <c r="A155" s="26" t="s">
        <v>164</v>
      </c>
      <c r="B155" t="str" cm="1">
        <f t="array" ref="B155:E155">_xlfn.TEXTSPLIT(A155," ",)</f>
        <v> neighbor</v>
      </c>
      <c r="C155" t="str">
        <v>169.254.0.11</v>
      </c>
      <c r="D155" t="str">
        <v>ebgp-multihop</v>
      </c>
      <c r="E155" t="str">
        <v>255</v>
      </c>
      <c r="L155" t="str">
        <f t="shared" si="6"/>
        <v> neighbor 169.254.0.11 ebgp-multihop 255</v>
      </c>
      <c r="Q155" t="str">
        <f t="shared" si="7"/>
        <v> neighbor 169.254.0.11 ebgp-multihop 255</v>
      </c>
    </row>
    <row r="156" spans="1:17" ht="20" x14ac:dyDescent="0.25">
      <c r="A156" s="26" t="s">
        <v>165</v>
      </c>
      <c r="B156" t="str" cm="1">
        <f t="array" ref="B156:E156">_xlfn.TEXTSPLIT(A156," ",)</f>
        <v> neighbor</v>
      </c>
      <c r="C156" t="str">
        <v>169.254.0.11</v>
      </c>
      <c r="D156" t="str">
        <v>update-source</v>
      </c>
      <c r="E156" t="str">
        <v>Tunnel11</v>
      </c>
      <c r="L156" t="str">
        <f t="shared" si="6"/>
        <v> neighbor 169.254.0.11 update-source Tunnel11</v>
      </c>
      <c r="Q156" t="str">
        <f t="shared" si="7"/>
        <v> neighbor 169.254.0.11 update-source Tunnel11</v>
      </c>
    </row>
    <row r="157" spans="1:17" ht="20" x14ac:dyDescent="0.25">
      <c r="A157" s="26" t="s">
        <v>211</v>
      </c>
      <c r="B157" t="str" cm="1">
        <f t="array" ref="B157:E157">_xlfn.TEXTSPLIT(A157," ",)</f>
        <v> neighbor</v>
      </c>
      <c r="C157" t="str">
        <v>169.254.0.12</v>
      </c>
      <c r="D157" t="str">
        <v>peer-group</v>
      </c>
      <c r="E157" t="str">
        <v>CISCO_SSE</v>
      </c>
      <c r="L157" t="str">
        <f t="shared" si="6"/>
        <v> neighbor 169.254.0.12 peer-group CISCO_SSE</v>
      </c>
      <c r="Q157" t="str">
        <f t="shared" si="7"/>
        <v> neighbor 169.254.0.12 peer-group CISCO_SSE</v>
      </c>
    </row>
    <row r="158" spans="1:17" ht="20" x14ac:dyDescent="0.25">
      <c r="A158" s="26" t="s">
        <v>166</v>
      </c>
      <c r="B158" t="str" cm="1">
        <f t="array" ref="B158:E158">_xlfn.TEXTSPLIT(A158," ",)</f>
        <v> neighbor</v>
      </c>
      <c r="C158" t="str">
        <v>169.254.0.12</v>
      </c>
      <c r="D158" t="str">
        <v>ebgp-multihop</v>
      </c>
      <c r="E158" t="str">
        <v>255</v>
      </c>
      <c r="L158" t="str">
        <f t="shared" si="6"/>
        <v> neighbor 169.254.0.12 ebgp-multihop 255</v>
      </c>
      <c r="Q158" t="str">
        <f t="shared" si="7"/>
        <v> neighbor 169.254.0.12 ebgp-multihop 255</v>
      </c>
    </row>
    <row r="159" spans="1:17" ht="20" x14ac:dyDescent="0.25">
      <c r="A159" s="26" t="s">
        <v>167</v>
      </c>
      <c r="B159" t="str" cm="1">
        <f t="array" ref="B159:E159">_xlfn.TEXTSPLIT(A159," ",)</f>
        <v> neighbor</v>
      </c>
      <c r="C159" t="str">
        <v>169.254.0.12</v>
      </c>
      <c r="D159" t="str">
        <v>update-source</v>
      </c>
      <c r="E159" t="str">
        <v>Tunnel12</v>
      </c>
      <c r="L159" t="str">
        <f t="shared" si="6"/>
        <v> neighbor 169.254.0.12 update-source Tunnel12</v>
      </c>
      <c r="Q159" t="str">
        <f t="shared" si="7"/>
        <v> neighbor 169.254.0.12 update-source Tunnel12</v>
      </c>
    </row>
    <row r="160" spans="1:17" ht="20" x14ac:dyDescent="0.25">
      <c r="A160" s="26" t="s">
        <v>168</v>
      </c>
      <c r="B160" t="str" cm="1">
        <f t="array" ref="B160:F160">_xlfn.TEXTSPLIT(A160," ",)</f>
        <v> !</v>
      </c>
      <c r="C160" t="str">
        <v> </v>
      </c>
      <c r="D160" t="str">
        <v> </v>
      </c>
      <c r="E160" t="str">
        <v> </v>
      </c>
      <c r="F160" t="str">
        <v> </v>
      </c>
      <c r="L160" t="str">
        <f t="shared" si="6"/>
        <v> !        </v>
      </c>
      <c r="Q160" t="str">
        <f t="shared" si="7"/>
        <v> !        </v>
      </c>
    </row>
    <row r="161" spans="1:17" ht="20" x14ac:dyDescent="0.25">
      <c r="A161" s="26" t="s">
        <v>169</v>
      </c>
      <c r="B161" t="str" cm="1">
        <f t="array" ref="B161:C161">_xlfn.TEXTSPLIT(A161," ",)</f>
        <v> address-family</v>
      </c>
      <c r="C161" t="str">
        <v>ipv4</v>
      </c>
      <c r="L161" t="str">
        <f t="shared" si="6"/>
        <v> address-family ipv4</v>
      </c>
      <c r="Q161" t="str">
        <f t="shared" si="7"/>
        <v> address-family ipv4</v>
      </c>
    </row>
    <row r="162" spans="1:17" ht="20" x14ac:dyDescent="0.25">
      <c r="A162" s="26" t="s">
        <v>212</v>
      </c>
      <c r="B162" t="str" cm="1">
        <f t="array" ref="B162:F162">_xlfn.TEXTSPLIT(A162," ",)</f>
        <v> </v>
      </c>
      <c r="C162" t="str">
        <v>neighbor</v>
      </c>
      <c r="D162" t="str">
        <v>CISCO_SSE</v>
      </c>
      <c r="E162" t="str">
        <v>send-community</v>
      </c>
      <c r="F162" t="str">
        <v>both</v>
      </c>
      <c r="L162" t="str">
        <f t="shared" si="6"/>
        <v>  neighbor CISCO_SSE send-community both</v>
      </c>
      <c r="Q162" t="str">
        <f t="shared" si="7"/>
        <v>  neighbor CISCO_SSE send-community both</v>
      </c>
    </row>
    <row r="163" spans="1:17" ht="20" x14ac:dyDescent="0.25">
      <c r="A163" s="26" t="s">
        <v>213</v>
      </c>
      <c r="B163" t="str" cm="1">
        <f t="array" ref="B163:F163">_xlfn.TEXTSPLIT(A163," ",)</f>
        <v> </v>
      </c>
      <c r="C163" t="str">
        <v>neighbor</v>
      </c>
      <c r="D163" t="str">
        <v>CISCO_SSE</v>
      </c>
      <c r="E163" t="str">
        <v>soft-reconfiguration</v>
      </c>
      <c r="F163" t="str">
        <v>inbound</v>
      </c>
      <c r="L163" t="str">
        <f t="shared" si="6"/>
        <v>  neighbor CISCO_SSE soft-reconfiguration inbound</v>
      </c>
      <c r="Q163" t="str">
        <f t="shared" si="7"/>
        <v>  neighbor CISCO_SSE soft-reconfiguration inbound</v>
      </c>
    </row>
    <row r="164" spans="1:17" ht="20" x14ac:dyDescent="0.25">
      <c r="A164" s="26" t="s">
        <v>214</v>
      </c>
      <c r="B164" t="str" cm="1">
        <f t="array" ref="B164:G164">_xlfn.TEXTSPLIT(A164," ",)</f>
        <v> </v>
      </c>
      <c r="C164" t="str">
        <v>neighbor</v>
      </c>
      <c r="D164" t="str">
        <v>CISCO_SSE</v>
      </c>
      <c r="E164" t="str">
        <v>route-map</v>
      </c>
      <c r="F164" t="str">
        <v>FROM_SSE_IMPORT</v>
      </c>
      <c r="G164" t="str">
        <v>in</v>
      </c>
      <c r="L164" t="str">
        <f t="shared" ref="L164:L230" si="8">_xlfn.TEXTJOIN(" ",TRUE,B164,C164,D164,E164,F164,G164,H164,I164,J164)</f>
        <v>  neighbor CISCO_SSE route-map FROM_SSE_IMPORT in</v>
      </c>
      <c r="Q164" t="str">
        <f t="shared" ref="Q164:Q230" si="9">_xlfn.TEXTJOIN(" ",TRUE,B164,C164,D164,E164,F164,G164,H164,I164,J164)</f>
        <v>  neighbor CISCO_SSE route-map FROM_SSE_IMPORT in</v>
      </c>
    </row>
    <row r="165" spans="1:17" ht="20" x14ac:dyDescent="0.25">
      <c r="A165" s="26" t="s">
        <v>215</v>
      </c>
      <c r="B165" t="str" cm="1">
        <f t="array" ref="B165:G165">_xlfn.TEXTSPLIT(A165," ",)</f>
        <v> </v>
      </c>
      <c r="C165" t="str">
        <v>neighbor</v>
      </c>
      <c r="D165" t="str">
        <v>CISCO_SSE</v>
      </c>
      <c r="E165" t="str">
        <v>route-map</v>
      </c>
      <c r="F165" t="str">
        <v>TO_SSE_EXPORT</v>
      </c>
      <c r="G165" t="str">
        <v>out</v>
      </c>
      <c r="L165" t="str">
        <f t="shared" si="8"/>
        <v>  neighbor CISCO_SSE route-map TO_SSE_EXPORT out</v>
      </c>
      <c r="Q165" t="str">
        <f t="shared" si="9"/>
        <v>  neighbor CISCO_SSE route-map TO_SSE_EXPORT out</v>
      </c>
    </row>
    <row r="166" spans="1:17" ht="20" x14ac:dyDescent="0.25">
      <c r="A166" s="26" t="s">
        <v>170</v>
      </c>
      <c r="B166" t="str" cm="1">
        <f t="array" ref="B166">_xlfn.TEXTSPLIT(A166," ",)</f>
        <v> exit-address-family</v>
      </c>
      <c r="L166" t="str">
        <f t="shared" si="8"/>
        <v> exit-address-family</v>
      </c>
      <c r="Q166" t="str">
        <f t="shared" si="9"/>
        <v> exit-address-family</v>
      </c>
    </row>
    <row r="167" spans="1:17" ht="20" x14ac:dyDescent="0.25">
      <c r="A167" s="26" t="s">
        <v>117</v>
      </c>
      <c r="B167" t="str" cm="1">
        <f t="array" ref="B167">_xlfn.TEXTSPLIT(A167," ",)</f>
        <v>!</v>
      </c>
      <c r="L167" t="str">
        <f t="shared" si="8"/>
        <v>!</v>
      </c>
      <c r="Q167" t="str">
        <f t="shared" si="9"/>
        <v>!</v>
      </c>
    </row>
    <row r="168" spans="1:17" ht="20" x14ac:dyDescent="0.25">
      <c r="A168" s="26" t="s">
        <v>173</v>
      </c>
      <c r="B168" t="str" cm="1">
        <f t="array" ref="B168:F168">_xlfn.TEXTSPLIT(A168," ",)</f>
        <v>ip</v>
      </c>
      <c r="C168" t="str">
        <v>route</v>
      </c>
      <c r="D168" t="str">
        <v>169.254.0.1</v>
      </c>
      <c r="E168" t="str">
        <v>255.255.255.255</v>
      </c>
      <c r="F168" t="str">
        <v>Tunnel1</v>
      </c>
      <c r="L168" t="str">
        <f t="shared" si="8"/>
        <v>ip route 169.254.0.1 255.255.255.255 Tunnel1</v>
      </c>
      <c r="Q168" t="str">
        <f t="shared" si="9"/>
        <v>ip route 169.254.0.1 255.255.255.255 Tunnel1</v>
      </c>
    </row>
    <row r="169" spans="1:17" ht="20" x14ac:dyDescent="0.25">
      <c r="A169" s="26" t="s">
        <v>174</v>
      </c>
      <c r="B169" t="str" cm="1">
        <f t="array" ref="B169:F169">_xlfn.TEXTSPLIT(A169," ",)</f>
        <v>ip</v>
      </c>
      <c r="C169" t="str">
        <v>route</v>
      </c>
      <c r="D169" t="str">
        <v>169.254.0.2</v>
      </c>
      <c r="E169" t="str">
        <v>255.255.255.255</v>
      </c>
      <c r="F169" t="str">
        <v>Tunnel2</v>
      </c>
      <c r="L169" t="str">
        <f t="shared" si="8"/>
        <v>ip route 169.254.0.2 255.255.255.255 Tunnel2</v>
      </c>
      <c r="Q169" t="str">
        <f t="shared" si="9"/>
        <v>ip route 169.254.0.2 255.255.255.255 Tunnel2</v>
      </c>
    </row>
    <row r="170" spans="1:17" ht="20" x14ac:dyDescent="0.25">
      <c r="A170" s="26" t="s">
        <v>175</v>
      </c>
      <c r="B170" t="str" cm="1">
        <f t="array" ref="B170:F170">_xlfn.TEXTSPLIT(A170," ",)</f>
        <v>ip</v>
      </c>
      <c r="C170" t="str">
        <v>route</v>
      </c>
      <c r="D170" t="str">
        <v>169.254.0.11</v>
      </c>
      <c r="E170" t="str">
        <v>255.255.255.255</v>
      </c>
      <c r="F170" t="str">
        <v>Tunnel11</v>
      </c>
      <c r="L170" t="str">
        <f t="shared" si="8"/>
        <v>ip route 169.254.0.11 255.255.255.255 Tunnel11</v>
      </c>
      <c r="Q170" t="str">
        <f t="shared" si="9"/>
        <v>ip route 169.254.0.11 255.255.255.255 Tunnel11</v>
      </c>
    </row>
    <row r="171" spans="1:17" ht="20" x14ac:dyDescent="0.25">
      <c r="A171" s="26" t="s">
        <v>176</v>
      </c>
      <c r="B171" t="str" cm="1">
        <f t="array" ref="B171:F171">_xlfn.TEXTSPLIT(A171," ",)</f>
        <v>ip</v>
      </c>
      <c r="C171" t="str">
        <v>route</v>
      </c>
      <c r="D171" t="str">
        <v>169.254.0.12</v>
      </c>
      <c r="E171" t="str">
        <v>255.255.255.255</v>
      </c>
      <c r="F171" t="str">
        <v>Tunnel12</v>
      </c>
      <c r="L171" t="str">
        <f t="shared" si="8"/>
        <v>ip route 169.254.0.12 255.255.255.255 Tunnel12</v>
      </c>
      <c r="Q171" t="str">
        <f t="shared" si="9"/>
        <v>ip route 169.254.0.12 255.255.255.255 Tunnel12</v>
      </c>
    </row>
    <row r="172" spans="1:17" x14ac:dyDescent="0.2">
      <c r="L172" t="str">
        <f t="shared" si="8"/>
        <v/>
      </c>
      <c r="Q172" t="str">
        <f t="shared" si="9"/>
        <v/>
      </c>
    </row>
    <row r="173" spans="1:17" ht="20" x14ac:dyDescent="0.25">
      <c r="A173" s="26" t="s">
        <v>239</v>
      </c>
      <c r="B173" t="str" cm="1">
        <f t="array" ref="B173:J173">_xlfn.TEXTSPLIT(A173," ",)</f>
        <v>ip</v>
      </c>
      <c r="C173" t="str">
        <v>nat</v>
      </c>
      <c r="D173" t="str">
        <v>inside</v>
      </c>
      <c r="E173" t="str">
        <v>source</v>
      </c>
      <c r="F173" t="str">
        <v>list</v>
      </c>
      <c r="G173" t="str">
        <v>SSE_IKE_NAT</v>
      </c>
      <c r="H173" t="str">
        <v>interface</v>
      </c>
      <c r="I173" t="str">
        <v>GigabitEthernet1</v>
      </c>
      <c r="J173" t="str">
        <v>overload</v>
      </c>
      <c r="L173" t="str">
        <f t="shared" si="8"/>
        <v>ip nat inside source list SSE_IKE_NAT interface GigabitEthernet1 overload</v>
      </c>
      <c r="Q173" t="str">
        <f t="shared" si="9"/>
        <v>ip nat inside source list SSE_IKE_NAT interface GigabitEthernet1 overload</v>
      </c>
    </row>
    <row r="174" spans="1:17" x14ac:dyDescent="0.2">
      <c r="L174" t="str">
        <f t="shared" si="8"/>
        <v/>
      </c>
      <c r="Q174" t="str">
        <f t="shared" si="9"/>
        <v/>
      </c>
    </row>
    <row r="175" spans="1:17" ht="20" x14ac:dyDescent="0.25">
      <c r="A175" s="26" t="s">
        <v>238</v>
      </c>
      <c r="B175" t="str" cm="1">
        <f t="array" ref="B175:E175">_xlfn.TEXTSPLIT(A175," ",)</f>
        <v>ip</v>
      </c>
      <c r="C175" t="str">
        <v>access-list</v>
      </c>
      <c r="D175" t="str">
        <v>extended</v>
      </c>
      <c r="E175" t="str">
        <v>SSE_IKE_NAT</v>
      </c>
      <c r="L175" t="str">
        <f t="shared" si="8"/>
        <v>ip access-list extended SSE_IKE_NAT</v>
      </c>
      <c r="Q175" t="str">
        <f t="shared" si="9"/>
        <v>ip access-list extended SSE_IKE_NAT</v>
      </c>
    </row>
    <row r="176" spans="1:17" ht="20" x14ac:dyDescent="0.25">
      <c r="A176" s="26" t="s">
        <v>237</v>
      </c>
      <c r="B176" t="str" cm="1">
        <f t="array" ref="B176:G176">_xlfn.TEXTSPLIT(A176," ",)</f>
        <v> 10</v>
      </c>
      <c r="C176" t="str">
        <v>permit</v>
      </c>
      <c r="D176" t="str">
        <v>ip</v>
      </c>
      <c r="E176" t="str">
        <v>100.64.255.0</v>
      </c>
      <c r="F176" t="str">
        <v>0.0.0.255</v>
      </c>
      <c r="G176" t="str">
        <v>any</v>
      </c>
      <c r="L176" t="str">
        <f t="shared" si="8"/>
        <v> 10 permit ip 100.64.255.0 0.0.0.255 any</v>
      </c>
      <c r="Q176" t="str">
        <f t="shared" si="9"/>
        <v> 10 permit ip 100.64.255.0 0.0.0.255 any</v>
      </c>
    </row>
    <row r="177" spans="1:17" x14ac:dyDescent="0.2">
      <c r="L177" t="str">
        <f t="shared" si="8"/>
        <v/>
      </c>
      <c r="Q177" t="str">
        <f t="shared" si="9"/>
        <v/>
      </c>
    </row>
    <row r="178" spans="1:17" ht="20" x14ac:dyDescent="0.25">
      <c r="A178" s="26" t="s">
        <v>177</v>
      </c>
      <c r="B178" t="str" cm="1">
        <f t="array" ref="B178:E178">_xlfn.TEXTSPLIT(A178," ",)</f>
        <v>route-map</v>
      </c>
      <c r="C178" t="str">
        <v>FROM_SSE_IMPORT</v>
      </c>
      <c r="D178" t="str">
        <v>deny</v>
      </c>
      <c r="E178" t="str">
        <v>999 </v>
      </c>
      <c r="L178" t="str">
        <f t="shared" si="8"/>
        <v>route-map FROM_SSE_IMPORT deny 999 </v>
      </c>
      <c r="Q178" t="str">
        <f t="shared" si="9"/>
        <v>route-map FROM_SSE_IMPORT deny 999 </v>
      </c>
    </row>
    <row r="179" spans="1:17" ht="20" x14ac:dyDescent="0.25">
      <c r="A179" s="26"/>
    </row>
    <row r="180" spans="1:17" ht="20" x14ac:dyDescent="0.25">
      <c r="A180" s="26" t="s">
        <v>186</v>
      </c>
      <c r="L180" t="str">
        <f>A180</f>
        <v>ip bgp-community new-format </v>
      </c>
      <c r="Q180" t="str">
        <f>L180</f>
        <v>ip bgp-community new-format </v>
      </c>
    </row>
    <row r="181" spans="1:17" ht="20" x14ac:dyDescent="0.25">
      <c r="A181" s="26"/>
    </row>
    <row r="182" spans="1:17" x14ac:dyDescent="0.2">
      <c r="L182" t="str">
        <f t="shared" si="8"/>
        <v/>
      </c>
      <c r="Q182" t="str">
        <f t="shared" si="9"/>
        <v/>
      </c>
    </row>
    <row r="183" spans="1:17" ht="20" x14ac:dyDescent="0.25">
      <c r="A183" s="26" t="s">
        <v>178</v>
      </c>
      <c r="B183" t="str" cm="1">
        <f t="array" ref="B183:E183">_xlfn.TEXTSPLIT(A183," ",)</f>
        <v>route-map</v>
      </c>
      <c r="C183" t="str">
        <v>TO_SSE_EXPORT</v>
      </c>
      <c r="D183" t="str">
        <v>permit</v>
      </c>
      <c r="E183" t="str">
        <v>5 </v>
      </c>
      <c r="L183" t="str">
        <f t="shared" si="8"/>
        <v>route-map TO_SSE_EXPORT permit 5 </v>
      </c>
      <c r="Q183" t="str">
        <f t="shared" si="9"/>
        <v>route-map TO_SSE_EXPORT permit 5 </v>
      </c>
    </row>
    <row r="184" spans="1:17" ht="20" x14ac:dyDescent="0.25">
      <c r="A184" s="26" t="s">
        <v>179</v>
      </c>
      <c r="B184" t="str" cm="1">
        <f t="array" ref="B184:F184">_xlfn.TEXTSPLIT(A184," ",)</f>
        <v> match</v>
      </c>
      <c r="C184" t="str">
        <v>ip</v>
      </c>
      <c r="D184" t="str">
        <v>address</v>
      </c>
      <c r="E184" t="str">
        <v>prefix-list</v>
      </c>
      <c r="F184" t="str">
        <v>AZURE_CENTRAL_PREFIXES</v>
      </c>
      <c r="L184" t="str">
        <f t="shared" si="8"/>
        <v> match ip address prefix-list AZURE_CENTRAL_PREFIXES</v>
      </c>
      <c r="Q184" t="str">
        <f t="shared" si="9"/>
        <v> match ip address prefix-list AZURE_CENTRAL_PREFIXES</v>
      </c>
    </row>
    <row r="185" spans="1:17" ht="20" x14ac:dyDescent="0.25">
      <c r="A185" s="26" t="s">
        <v>180</v>
      </c>
      <c r="B185" t="str" cm="1">
        <f t="array" ref="B185:G185">_xlfn.TEXTSPLIT(A185," ",)</f>
        <v> set</v>
      </c>
      <c r="C185" t="str">
        <v>as-path</v>
      </c>
      <c r="D185" t="str">
        <v>prepend</v>
      </c>
      <c r="E185" t="str">
        <v>64514</v>
      </c>
      <c r="F185" t="str">
        <v>64514</v>
      </c>
      <c r="G185" t="str">
        <v>64514</v>
      </c>
      <c r="L185" t="str">
        <f t="shared" si="8"/>
        <v> set as-path prepend 64514 64514 64514</v>
      </c>
      <c r="Q185" t="str">
        <f t="shared" si="9"/>
        <v> set as-path prepend 64514 64514 64514</v>
      </c>
    </row>
    <row r="186" spans="1:17" ht="20" x14ac:dyDescent="0.25">
      <c r="A186" s="26" t="s">
        <v>129</v>
      </c>
      <c r="B186" t="str" cm="1">
        <f t="array" ref="B186:F186">_xlfn.TEXTSPLIT(A186," ",)</f>
        <v>! </v>
      </c>
      <c r="C186" t="str">
        <v> </v>
      </c>
      <c r="D186" t="str">
        <v> </v>
      </c>
      <c r="E186" t="str">
        <v> </v>
      </c>
      <c r="F186" t="str">
        <v> </v>
      </c>
      <c r="L186" t="str">
        <f t="shared" si="8"/>
        <v>!         </v>
      </c>
      <c r="Q186" t="str">
        <f t="shared" si="9"/>
        <v>!         </v>
      </c>
    </row>
    <row r="187" spans="1:17" ht="20" x14ac:dyDescent="0.25">
      <c r="A187" s="26" t="s">
        <v>181</v>
      </c>
      <c r="B187" t="str" cm="1">
        <f t="array" ref="B187:E187">_xlfn.TEXTSPLIT(A187," ",)</f>
        <v>route-map</v>
      </c>
      <c r="C187" t="str">
        <v>TO_SSE_EXPORT</v>
      </c>
      <c r="D187" t="str">
        <v>permit</v>
      </c>
      <c r="E187" t="str">
        <v>10 </v>
      </c>
      <c r="L187" t="str">
        <f t="shared" si="8"/>
        <v>route-map TO_SSE_EXPORT permit 10 </v>
      </c>
      <c r="Q187" t="str">
        <f t="shared" si="9"/>
        <v>route-map TO_SSE_EXPORT permit 10 </v>
      </c>
    </row>
    <row r="188" spans="1:17" ht="20" x14ac:dyDescent="0.25">
      <c r="A188" s="26" t="s">
        <v>182</v>
      </c>
      <c r="B188" t="str" cm="1">
        <f t="array" ref="B188:F188">_xlfn.TEXTSPLIT(A188," ",)</f>
        <v> match</v>
      </c>
      <c r="C188" t="str">
        <v>ip</v>
      </c>
      <c r="D188" t="str">
        <v>address</v>
      </c>
      <c r="E188" t="str">
        <v>prefix-list</v>
      </c>
      <c r="F188" t="str">
        <v>RFC1918_SUMMARIES</v>
      </c>
      <c r="L188" t="str">
        <f t="shared" si="8"/>
        <v> match ip address prefix-list RFC1918_SUMMARIES</v>
      </c>
      <c r="Q188" t="str">
        <f t="shared" si="9"/>
        <v> match ip address prefix-list RFC1918_SUMMARIES</v>
      </c>
    </row>
    <row r="189" spans="1:17" ht="20" x14ac:dyDescent="0.25">
      <c r="A189" s="26"/>
      <c r="B189" t="e" cm="1">
        <f t="array" ref="B189">_xlfn.TEXTSPLIT(A189," ",)</f>
        <v>#VALUE!</v>
      </c>
      <c r="L189" t="e">
        <f t="shared" si="8"/>
        <v>#VALUE!</v>
      </c>
      <c r="Q189" t="e">
        <f t="shared" si="9"/>
        <v>#VALUE!</v>
      </c>
    </row>
    <row r="190" spans="1:17" ht="20" x14ac:dyDescent="0.25">
      <c r="A190" s="26" t="s">
        <v>180</v>
      </c>
      <c r="B190" t="str" cm="1">
        <f t="array" ref="B190:G190">_xlfn.TEXTSPLIT(A190," ",)</f>
        <v> set</v>
      </c>
      <c r="C190" t="str">
        <v>as-path</v>
      </c>
      <c r="D190" t="str">
        <v>prepend</v>
      </c>
      <c r="E190" t="str">
        <v>64514</v>
      </c>
      <c r="F190" t="str">
        <v>64514</v>
      </c>
      <c r="G190" t="str">
        <v>64514</v>
      </c>
      <c r="L190" t="str">
        <f t="shared" si="8"/>
        <v> set as-path prepend 64514 64514 64514</v>
      </c>
      <c r="Q190" t="str">
        <f t="shared" si="9"/>
        <v> set as-path prepend 64514 64514 64514</v>
      </c>
    </row>
    <row r="191" spans="1:17" ht="20" x14ac:dyDescent="0.25">
      <c r="A191" s="26" t="s">
        <v>129</v>
      </c>
      <c r="B191" t="str" cm="1">
        <f t="array" ref="B191:F191">_xlfn.TEXTSPLIT(A191," ",)</f>
        <v>! </v>
      </c>
      <c r="C191" t="str">
        <v> </v>
      </c>
      <c r="D191" t="str">
        <v> </v>
      </c>
      <c r="E191" t="str">
        <v> </v>
      </c>
      <c r="F191" t="str">
        <v> </v>
      </c>
      <c r="L191" t="str">
        <f t="shared" si="8"/>
        <v>!         </v>
      </c>
      <c r="Q191" t="str">
        <f t="shared" si="9"/>
        <v>!         </v>
      </c>
    </row>
    <row r="192" spans="1:17" ht="20" x14ac:dyDescent="0.25">
      <c r="A192" s="26" t="s">
        <v>183</v>
      </c>
      <c r="B192" t="str" cm="1">
        <f t="array" ref="B192:E192">_xlfn.TEXTSPLIT(A192," ",)</f>
        <v>route-map</v>
      </c>
      <c r="C192" t="str">
        <v>TO_SSE_EXPORT</v>
      </c>
      <c r="D192" t="str">
        <v>permit</v>
      </c>
      <c r="E192" t="str">
        <v>15 </v>
      </c>
      <c r="L192" t="str">
        <f t="shared" si="8"/>
        <v>route-map TO_SSE_EXPORT permit 15 </v>
      </c>
      <c r="Q192" t="str">
        <f t="shared" si="9"/>
        <v>route-map TO_SSE_EXPORT permit 15 </v>
      </c>
    </row>
    <row r="193" spans="1:17" ht="20" x14ac:dyDescent="0.25">
      <c r="A193" s="26" t="s">
        <v>184</v>
      </c>
      <c r="B193" t="str" cm="1">
        <f t="array" ref="B193:F193">_xlfn.TEXTSPLIT(A193," ",)</f>
        <v> match</v>
      </c>
      <c r="C193" t="str">
        <v>ip</v>
      </c>
      <c r="D193" t="str">
        <v>address</v>
      </c>
      <c r="E193" t="str">
        <v>prefix-list</v>
      </c>
      <c r="F193" t="str">
        <v>CISCO_MGMT_IOS</v>
      </c>
      <c r="L193" t="str">
        <f t="shared" si="8"/>
        <v> match ip address prefix-list CISCO_MGMT_IOS</v>
      </c>
      <c r="Q193" t="str">
        <f t="shared" si="9"/>
        <v> match ip address prefix-list CISCO_MGMT_IOS</v>
      </c>
    </row>
    <row r="194" spans="1:17" ht="20" x14ac:dyDescent="0.25">
      <c r="A194" s="26" t="s">
        <v>185</v>
      </c>
      <c r="B194" t="str" cm="1">
        <f t="array" ref="B194:F194">_xlfn.TEXTSPLIT(A194," ",)</f>
        <v> set</v>
      </c>
      <c r="C194" t="str">
        <v>as-path</v>
      </c>
      <c r="D194" t="str">
        <v>prepend</v>
      </c>
      <c r="E194" t="str">
        <v>64514</v>
      </c>
      <c r="F194" t="str">
        <v>64514</v>
      </c>
      <c r="L194" t="str">
        <f t="shared" si="8"/>
        <v> set as-path prepend 64514 64514</v>
      </c>
      <c r="Q194" t="str">
        <f t="shared" si="9"/>
        <v> set as-path prepend 64514 64514</v>
      </c>
    </row>
    <row r="195" spans="1:17" ht="20" x14ac:dyDescent="0.25">
      <c r="A195" s="26" t="s">
        <v>129</v>
      </c>
      <c r="B195" t="str" cm="1">
        <f t="array" ref="B195:F195">_xlfn.TEXTSPLIT(A195," ",)</f>
        <v>! </v>
      </c>
      <c r="C195" t="str">
        <v> </v>
      </c>
      <c r="D195" t="str">
        <v> </v>
      </c>
      <c r="E195" t="str">
        <v> </v>
      </c>
      <c r="F195" t="str">
        <v> </v>
      </c>
      <c r="L195" t="str">
        <f t="shared" si="8"/>
        <v>!         </v>
      </c>
      <c r="Q195" t="str">
        <f t="shared" si="9"/>
        <v>!         </v>
      </c>
    </row>
    <row r="196" spans="1:17" ht="20" x14ac:dyDescent="0.25">
      <c r="A196" s="26" t="s">
        <v>129</v>
      </c>
      <c r="B196" t="str" cm="1">
        <f t="array" ref="B196:F196">_xlfn.TEXTSPLIT(A196," ",)</f>
        <v>! </v>
      </c>
      <c r="C196" t="str">
        <v> </v>
      </c>
      <c r="D196" t="str">
        <v> </v>
      </c>
      <c r="E196" t="str">
        <v> </v>
      </c>
      <c r="F196" t="str">
        <v> </v>
      </c>
      <c r="L196" t="str">
        <f t="shared" si="8"/>
        <v>!         </v>
      </c>
      <c r="Q196" t="str">
        <f t="shared" si="9"/>
        <v>!         </v>
      </c>
    </row>
    <row r="197" spans="1:17" ht="20" x14ac:dyDescent="0.25">
      <c r="A197" s="26" t="s">
        <v>129</v>
      </c>
      <c r="B197" t="str" cm="1">
        <f t="array" ref="B197:F197">_xlfn.TEXTSPLIT(A197," ",)</f>
        <v>! </v>
      </c>
      <c r="C197" t="str">
        <v> </v>
      </c>
      <c r="D197" t="str">
        <v> </v>
      </c>
      <c r="E197" t="str">
        <v> </v>
      </c>
      <c r="F197" t="str">
        <v> </v>
      </c>
      <c r="L197" t="str">
        <f t="shared" si="8"/>
        <v>!         </v>
      </c>
      <c r="Q197" t="str">
        <f t="shared" si="9"/>
        <v>!         </v>
      </c>
    </row>
    <row r="198" spans="1:17" ht="20" x14ac:dyDescent="0.25">
      <c r="A198" s="26" t="s">
        <v>129</v>
      </c>
      <c r="B198" t="str" cm="1">
        <f t="array" ref="B198:F198">_xlfn.TEXTSPLIT(A198," ",)</f>
        <v>! </v>
      </c>
      <c r="C198" t="str">
        <v> </v>
      </c>
      <c r="D198" t="str">
        <v> </v>
      </c>
      <c r="E198" t="str">
        <v> </v>
      </c>
      <c r="F198" t="str">
        <v> </v>
      </c>
      <c r="L198" t="str">
        <f t="shared" si="8"/>
        <v>!         </v>
      </c>
      <c r="Q198" t="str">
        <f t="shared" si="9"/>
        <v>!         </v>
      </c>
    </row>
    <row r="199" spans="1:17" x14ac:dyDescent="0.2">
      <c r="B199" t="str" cm="1">
        <f t="array" ref="B199:D199">_xlfn.TEXTSPLIT(A180," ",)</f>
        <v>ip</v>
      </c>
      <c r="C199" t="str">
        <v>bgp-community</v>
      </c>
      <c r="D199" t="str">
        <v>new-format </v>
      </c>
      <c r="L199" t="str">
        <f t="shared" si="8"/>
        <v>ip bgp-community new-format </v>
      </c>
      <c r="Q199" t="str">
        <f t="shared" si="9"/>
        <v>ip bgp-community new-format </v>
      </c>
    </row>
    <row r="200" spans="1:17" x14ac:dyDescent="0.2">
      <c r="B200" t="e" cm="1">
        <f t="array" ref="B200">_xlfn.TEXTSPLIT(A200," ",)</f>
        <v>#VALUE!</v>
      </c>
      <c r="L200" t="e">
        <f t="shared" si="8"/>
        <v>#VALUE!</v>
      </c>
      <c r="Q200" t="e">
        <f t="shared" si="9"/>
        <v>#VALUE!</v>
      </c>
    </row>
    <row r="201" spans="1:17" x14ac:dyDescent="0.2">
      <c r="B201" t="e" cm="1">
        <f t="array" ref="B201">_xlfn.TEXTSPLIT(A201," ",)</f>
        <v>#VALUE!</v>
      </c>
      <c r="L201" t="e">
        <f t="shared" si="8"/>
        <v>#VALUE!</v>
      </c>
      <c r="Q201" t="e">
        <f t="shared" si="9"/>
        <v>#VALUE!</v>
      </c>
    </row>
    <row r="202" spans="1:17" x14ac:dyDescent="0.2">
      <c r="B202" t="e" cm="1">
        <f t="array" ref="B202">_xlfn.TEXTSPLIT(A202," ",)</f>
        <v>#VALUE!</v>
      </c>
      <c r="L202" t="e">
        <f t="shared" si="8"/>
        <v>#VALUE!</v>
      </c>
      <c r="Q202" t="e">
        <f t="shared" si="9"/>
        <v>#VALUE!</v>
      </c>
    </row>
    <row r="203" spans="1:17" x14ac:dyDescent="0.2">
      <c r="B203" t="e" cm="1">
        <f t="array" ref="B203">_xlfn.TEXTSPLIT(A203," ",)</f>
        <v>#VALUE!</v>
      </c>
      <c r="L203" t="e">
        <f t="shared" si="8"/>
        <v>#VALUE!</v>
      </c>
      <c r="Q203" t="e">
        <f t="shared" si="9"/>
        <v>#VALUE!</v>
      </c>
    </row>
    <row r="204" spans="1:17" x14ac:dyDescent="0.2">
      <c r="B204" t="e" cm="1">
        <f t="array" ref="B204">_xlfn.TEXTSPLIT(A204," ",)</f>
        <v>#VALUE!</v>
      </c>
      <c r="L204" t="e">
        <f t="shared" si="8"/>
        <v>#VALUE!</v>
      </c>
      <c r="Q204" t="e">
        <f t="shared" si="9"/>
        <v>#VALUE!</v>
      </c>
    </row>
    <row r="205" spans="1:17" x14ac:dyDescent="0.2">
      <c r="B205" t="e" cm="1">
        <f t="array" ref="B205">_xlfn.TEXTSPLIT(A205," ",)</f>
        <v>#VALUE!</v>
      </c>
      <c r="L205" t="e">
        <f t="shared" si="8"/>
        <v>#VALUE!</v>
      </c>
      <c r="Q205" t="e">
        <f t="shared" si="9"/>
        <v>#VALUE!</v>
      </c>
    </row>
    <row r="206" spans="1:17" x14ac:dyDescent="0.2">
      <c r="B206" t="e" cm="1">
        <f t="array" ref="B206">_xlfn.TEXTSPLIT(A206," ",)</f>
        <v>#VALUE!</v>
      </c>
      <c r="L206" t="e">
        <f t="shared" si="8"/>
        <v>#VALUE!</v>
      </c>
      <c r="Q206" t="e">
        <f t="shared" si="9"/>
        <v>#VALUE!</v>
      </c>
    </row>
    <row r="207" spans="1:17" x14ac:dyDescent="0.2">
      <c r="B207" t="e" cm="1">
        <f t="array" ref="B207">_xlfn.TEXTSPLIT(A207," ",)</f>
        <v>#VALUE!</v>
      </c>
      <c r="L207" t="e">
        <f t="shared" si="8"/>
        <v>#VALUE!</v>
      </c>
      <c r="Q207" t="e">
        <f t="shared" si="9"/>
        <v>#VALUE!</v>
      </c>
    </row>
    <row r="208" spans="1:17" x14ac:dyDescent="0.2">
      <c r="B208" t="e" cm="1">
        <f t="array" ref="B208">_xlfn.TEXTSPLIT(A208," ",)</f>
        <v>#VALUE!</v>
      </c>
      <c r="L208" t="e">
        <f t="shared" si="8"/>
        <v>#VALUE!</v>
      </c>
      <c r="Q208" t="e">
        <f t="shared" si="9"/>
        <v>#VALUE!</v>
      </c>
    </row>
    <row r="209" spans="2:17" x14ac:dyDescent="0.2">
      <c r="B209" t="e" cm="1">
        <f t="array" ref="B209">_xlfn.TEXTSPLIT(A209," ",)</f>
        <v>#VALUE!</v>
      </c>
      <c r="L209" t="e">
        <f t="shared" si="8"/>
        <v>#VALUE!</v>
      </c>
      <c r="Q209" t="e">
        <f t="shared" si="9"/>
        <v>#VALUE!</v>
      </c>
    </row>
    <row r="210" spans="2:17" x14ac:dyDescent="0.2">
      <c r="B210" t="e" cm="1">
        <f t="array" ref="B210">_xlfn.TEXTSPLIT(A210," ",)</f>
        <v>#VALUE!</v>
      </c>
      <c r="L210" t="e">
        <f t="shared" si="8"/>
        <v>#VALUE!</v>
      </c>
      <c r="Q210" t="e">
        <f t="shared" si="9"/>
        <v>#VALUE!</v>
      </c>
    </row>
    <row r="211" spans="2:17" x14ac:dyDescent="0.2">
      <c r="B211" t="e" cm="1">
        <f t="array" ref="B211">_xlfn.TEXTSPLIT(A211," ",)</f>
        <v>#VALUE!</v>
      </c>
      <c r="L211" t="e">
        <f t="shared" si="8"/>
        <v>#VALUE!</v>
      </c>
      <c r="Q211" t="e">
        <f t="shared" si="9"/>
        <v>#VALUE!</v>
      </c>
    </row>
    <row r="212" spans="2:17" x14ac:dyDescent="0.2">
      <c r="B212" t="e" cm="1">
        <f t="array" ref="B212">_xlfn.TEXTSPLIT(A212," ",)</f>
        <v>#VALUE!</v>
      </c>
      <c r="L212" t="e">
        <f t="shared" si="8"/>
        <v>#VALUE!</v>
      </c>
      <c r="Q212" t="e">
        <f t="shared" si="9"/>
        <v>#VALUE!</v>
      </c>
    </row>
    <row r="213" spans="2:17" x14ac:dyDescent="0.2">
      <c r="B213" t="e" cm="1">
        <f t="array" ref="B213">_xlfn.TEXTSPLIT(A213," ",)</f>
        <v>#VALUE!</v>
      </c>
      <c r="L213" t="e">
        <f t="shared" si="8"/>
        <v>#VALUE!</v>
      </c>
      <c r="Q213" t="e">
        <f t="shared" si="9"/>
        <v>#VALUE!</v>
      </c>
    </row>
    <row r="214" spans="2:17" x14ac:dyDescent="0.2">
      <c r="B214" t="e" cm="1">
        <f t="array" ref="B214">_xlfn.TEXTSPLIT(A214," ",)</f>
        <v>#VALUE!</v>
      </c>
      <c r="L214" t="e">
        <f t="shared" si="8"/>
        <v>#VALUE!</v>
      </c>
      <c r="Q214" t="e">
        <f t="shared" si="9"/>
        <v>#VALUE!</v>
      </c>
    </row>
    <row r="215" spans="2:17" x14ac:dyDescent="0.2">
      <c r="B215" t="e" cm="1">
        <f t="array" ref="B215">_xlfn.TEXTSPLIT(A215," ",)</f>
        <v>#VALUE!</v>
      </c>
      <c r="L215" t="e">
        <f t="shared" si="8"/>
        <v>#VALUE!</v>
      </c>
      <c r="Q215" t="e">
        <f t="shared" si="9"/>
        <v>#VALUE!</v>
      </c>
    </row>
    <row r="216" spans="2:17" x14ac:dyDescent="0.2">
      <c r="B216" t="e" cm="1">
        <f t="array" ref="B216">_xlfn.TEXTSPLIT(A216," ",)</f>
        <v>#VALUE!</v>
      </c>
      <c r="L216" t="e">
        <f t="shared" si="8"/>
        <v>#VALUE!</v>
      </c>
      <c r="Q216" t="e">
        <f t="shared" si="9"/>
        <v>#VALUE!</v>
      </c>
    </row>
    <row r="217" spans="2:17" x14ac:dyDescent="0.2">
      <c r="B217" t="e" cm="1">
        <f t="array" ref="B217">_xlfn.TEXTSPLIT(A217," ",)</f>
        <v>#VALUE!</v>
      </c>
      <c r="L217" t="e">
        <f t="shared" si="8"/>
        <v>#VALUE!</v>
      </c>
      <c r="Q217" t="e">
        <f t="shared" si="9"/>
        <v>#VALUE!</v>
      </c>
    </row>
    <row r="218" spans="2:17" x14ac:dyDescent="0.2">
      <c r="B218" t="e" cm="1">
        <f t="array" ref="B218">_xlfn.TEXTSPLIT(A218," ",)</f>
        <v>#VALUE!</v>
      </c>
      <c r="L218" t="e">
        <f t="shared" si="8"/>
        <v>#VALUE!</v>
      </c>
      <c r="Q218" t="e">
        <f t="shared" si="9"/>
        <v>#VALUE!</v>
      </c>
    </row>
    <row r="219" spans="2:17" x14ac:dyDescent="0.2">
      <c r="B219" t="e" cm="1">
        <f t="array" ref="B219">_xlfn.TEXTSPLIT(A219," ",)</f>
        <v>#VALUE!</v>
      </c>
      <c r="L219" t="e">
        <f t="shared" si="8"/>
        <v>#VALUE!</v>
      </c>
      <c r="Q219" t="e">
        <f t="shared" si="9"/>
        <v>#VALUE!</v>
      </c>
    </row>
    <row r="220" spans="2:17" x14ac:dyDescent="0.2">
      <c r="B220" t="e" cm="1">
        <f t="array" ref="B220">_xlfn.TEXTSPLIT(A220," ",)</f>
        <v>#VALUE!</v>
      </c>
      <c r="L220" t="e">
        <f t="shared" si="8"/>
        <v>#VALUE!</v>
      </c>
      <c r="Q220" t="e">
        <f t="shared" si="9"/>
        <v>#VALUE!</v>
      </c>
    </row>
    <row r="221" spans="2:17" x14ac:dyDescent="0.2">
      <c r="B221" t="e" cm="1">
        <f t="array" ref="B221">_xlfn.TEXTSPLIT(A221," ",)</f>
        <v>#VALUE!</v>
      </c>
      <c r="L221" t="e">
        <f t="shared" si="8"/>
        <v>#VALUE!</v>
      </c>
      <c r="Q221" t="e">
        <f t="shared" si="9"/>
        <v>#VALUE!</v>
      </c>
    </row>
    <row r="222" spans="2:17" x14ac:dyDescent="0.2">
      <c r="B222" t="e" cm="1">
        <f t="array" ref="B222">_xlfn.TEXTSPLIT(A222," ",)</f>
        <v>#VALUE!</v>
      </c>
      <c r="L222" t="e">
        <f t="shared" si="8"/>
        <v>#VALUE!</v>
      </c>
      <c r="Q222" t="e">
        <f t="shared" si="9"/>
        <v>#VALUE!</v>
      </c>
    </row>
    <row r="223" spans="2:17" x14ac:dyDescent="0.2">
      <c r="B223" t="e" cm="1">
        <f t="array" ref="B223">_xlfn.TEXTSPLIT(A223," ",)</f>
        <v>#VALUE!</v>
      </c>
      <c r="L223" t="e">
        <f t="shared" si="8"/>
        <v>#VALUE!</v>
      </c>
      <c r="Q223" t="e">
        <f t="shared" si="9"/>
        <v>#VALUE!</v>
      </c>
    </row>
    <row r="224" spans="2:17" x14ac:dyDescent="0.2">
      <c r="B224" t="e" cm="1">
        <f t="array" ref="B224">_xlfn.TEXTSPLIT(A224," ",)</f>
        <v>#VALUE!</v>
      </c>
      <c r="L224" t="e">
        <f t="shared" si="8"/>
        <v>#VALUE!</v>
      </c>
      <c r="Q224" t="e">
        <f t="shared" si="9"/>
        <v>#VALUE!</v>
      </c>
    </row>
    <row r="225" spans="2:17" x14ac:dyDescent="0.2">
      <c r="B225" t="e" cm="1">
        <f t="array" ref="B225">_xlfn.TEXTSPLIT(A225," ",)</f>
        <v>#VALUE!</v>
      </c>
      <c r="L225" t="e">
        <f t="shared" si="8"/>
        <v>#VALUE!</v>
      </c>
      <c r="Q225" t="e">
        <f t="shared" si="9"/>
        <v>#VALUE!</v>
      </c>
    </row>
    <row r="226" spans="2:17" x14ac:dyDescent="0.2">
      <c r="B226" t="e" cm="1">
        <f t="array" ref="B226">_xlfn.TEXTSPLIT(A226," ",)</f>
        <v>#VALUE!</v>
      </c>
      <c r="L226" t="e">
        <f t="shared" si="8"/>
        <v>#VALUE!</v>
      </c>
      <c r="Q226" t="e">
        <f t="shared" si="9"/>
        <v>#VALUE!</v>
      </c>
    </row>
    <row r="227" spans="2:17" x14ac:dyDescent="0.2">
      <c r="B227" t="e" cm="1">
        <f t="array" ref="B227">_xlfn.TEXTSPLIT(A227," ",)</f>
        <v>#VALUE!</v>
      </c>
      <c r="L227" t="e">
        <f t="shared" si="8"/>
        <v>#VALUE!</v>
      </c>
      <c r="Q227" t="e">
        <f t="shared" si="9"/>
        <v>#VALUE!</v>
      </c>
    </row>
    <row r="228" spans="2:17" x14ac:dyDescent="0.2">
      <c r="B228" t="e" cm="1">
        <f t="array" ref="B228">_xlfn.TEXTSPLIT(A228," ",)</f>
        <v>#VALUE!</v>
      </c>
      <c r="L228" t="e">
        <f t="shared" si="8"/>
        <v>#VALUE!</v>
      </c>
      <c r="Q228" t="e">
        <f t="shared" si="9"/>
        <v>#VALUE!</v>
      </c>
    </row>
    <row r="229" spans="2:17" x14ac:dyDescent="0.2">
      <c r="B229" t="e" cm="1">
        <f t="array" ref="B229">_xlfn.TEXTSPLIT(A229," ",)</f>
        <v>#VALUE!</v>
      </c>
      <c r="L229" t="e">
        <f t="shared" si="8"/>
        <v>#VALUE!</v>
      </c>
      <c r="Q229" t="e">
        <f t="shared" si="9"/>
        <v>#VALUE!</v>
      </c>
    </row>
    <row r="230" spans="2:17" x14ac:dyDescent="0.2">
      <c r="B230" t="e" cm="1">
        <f t="array" ref="B230">_xlfn.TEXTSPLIT(A230," ",)</f>
        <v>#VALUE!</v>
      </c>
      <c r="L230" t="e">
        <f t="shared" si="8"/>
        <v>#VALUE!</v>
      </c>
      <c r="Q230" t="e">
        <f t="shared" si="9"/>
        <v>#VALUE!</v>
      </c>
    </row>
    <row r="231" spans="2:17" x14ac:dyDescent="0.2">
      <c r="B231" t="e" cm="1">
        <f t="array" ref="B231">_xlfn.TEXTSPLIT(A231," ",)</f>
        <v>#VALUE!</v>
      </c>
      <c r="L231" t="e">
        <f t="shared" ref="L231:L294" si="10">_xlfn.TEXTJOIN(" ",TRUE,B231,C231,D231,E231,F231,G231,H231,I231,J231)</f>
        <v>#VALUE!</v>
      </c>
      <c r="Q231" t="e">
        <f t="shared" ref="Q231:Q234" si="11">_xlfn.TEXTJOIN(" ",TRUE,B231,C231,D231,E231,F231,G231,H231,I231,J231)</f>
        <v>#VALUE!</v>
      </c>
    </row>
    <row r="232" spans="2:17" x14ac:dyDescent="0.2">
      <c r="B232" t="e" cm="1">
        <f t="array" ref="B232">_xlfn.TEXTSPLIT(A232," ",)</f>
        <v>#VALUE!</v>
      </c>
      <c r="L232" t="e">
        <f t="shared" si="10"/>
        <v>#VALUE!</v>
      </c>
      <c r="Q232" t="e">
        <f t="shared" si="11"/>
        <v>#VALUE!</v>
      </c>
    </row>
    <row r="233" spans="2:17" x14ac:dyDescent="0.2">
      <c r="B233" t="e" cm="1">
        <f t="array" ref="B233">_xlfn.TEXTSPLIT(A233," ",)</f>
        <v>#VALUE!</v>
      </c>
      <c r="L233" t="e">
        <f t="shared" si="10"/>
        <v>#VALUE!</v>
      </c>
      <c r="Q233" t="e">
        <f t="shared" si="11"/>
        <v>#VALUE!</v>
      </c>
    </row>
    <row r="234" spans="2:17" x14ac:dyDescent="0.2">
      <c r="B234" t="e" cm="1">
        <f t="array" ref="B234">_xlfn.TEXTSPLIT(A234," ",)</f>
        <v>#VALUE!</v>
      </c>
      <c r="L234" t="e">
        <f t="shared" si="10"/>
        <v>#VALUE!</v>
      </c>
      <c r="Q234" t="e">
        <f t="shared" si="11"/>
        <v>#VALUE!</v>
      </c>
    </row>
    <row r="235" spans="2:17" x14ac:dyDescent="0.2">
      <c r="B235" t="e" cm="1">
        <f t="array" ref="B235">_xlfn.TEXTSPLIT(A235," ",)</f>
        <v>#VALUE!</v>
      </c>
      <c r="L235" t="e">
        <f t="shared" si="10"/>
        <v>#VALUE!</v>
      </c>
    </row>
    <row r="236" spans="2:17" x14ac:dyDescent="0.2">
      <c r="B236" t="e" cm="1">
        <f t="array" ref="B236">_xlfn.TEXTSPLIT(A236," ",)</f>
        <v>#VALUE!</v>
      </c>
      <c r="L236" t="e">
        <f t="shared" si="10"/>
        <v>#VALUE!</v>
      </c>
    </row>
    <row r="237" spans="2:17" x14ac:dyDescent="0.2">
      <c r="B237" t="e" cm="1">
        <f t="array" ref="B237">_xlfn.TEXTSPLIT(A237," ",)</f>
        <v>#VALUE!</v>
      </c>
      <c r="L237" t="e">
        <f t="shared" si="10"/>
        <v>#VALUE!</v>
      </c>
    </row>
    <row r="238" spans="2:17" x14ac:dyDescent="0.2">
      <c r="B238" t="e" cm="1">
        <f t="array" ref="B238">_xlfn.TEXTSPLIT(A238," ",)</f>
        <v>#VALUE!</v>
      </c>
      <c r="L238" t="e">
        <f t="shared" si="10"/>
        <v>#VALUE!</v>
      </c>
    </row>
    <row r="239" spans="2:17" x14ac:dyDescent="0.2">
      <c r="B239" t="e" cm="1">
        <f t="array" ref="B239">_xlfn.TEXTSPLIT(A239," ",)</f>
        <v>#VALUE!</v>
      </c>
      <c r="L239" t="e">
        <f t="shared" si="10"/>
        <v>#VALUE!</v>
      </c>
    </row>
    <row r="240" spans="2:17" x14ac:dyDescent="0.2">
      <c r="B240" t="e" cm="1">
        <f t="array" ref="B240">_xlfn.TEXTSPLIT(A240," ",)</f>
        <v>#VALUE!</v>
      </c>
      <c r="L240" t="e">
        <f t="shared" si="10"/>
        <v>#VALUE!</v>
      </c>
    </row>
    <row r="241" spans="2:12" x14ac:dyDescent="0.2">
      <c r="B241" t="e" cm="1">
        <f t="array" ref="B241">_xlfn.TEXTSPLIT(A241," ",)</f>
        <v>#VALUE!</v>
      </c>
      <c r="L241" t="e">
        <f t="shared" si="10"/>
        <v>#VALUE!</v>
      </c>
    </row>
    <row r="242" spans="2:12" x14ac:dyDescent="0.2">
      <c r="B242" t="e" cm="1">
        <f t="array" ref="B242">_xlfn.TEXTSPLIT(A242," ",)</f>
        <v>#VALUE!</v>
      </c>
      <c r="L242" t="e">
        <f t="shared" si="10"/>
        <v>#VALUE!</v>
      </c>
    </row>
    <row r="243" spans="2:12" x14ac:dyDescent="0.2">
      <c r="B243" t="e" cm="1">
        <f t="array" ref="B243">_xlfn.TEXTSPLIT(A243," ",)</f>
        <v>#VALUE!</v>
      </c>
      <c r="L243" t="e">
        <f t="shared" si="10"/>
        <v>#VALUE!</v>
      </c>
    </row>
    <row r="244" spans="2:12" x14ac:dyDescent="0.2">
      <c r="B244" t="e" cm="1">
        <f t="array" ref="B244">_xlfn.TEXTSPLIT(A244," ",)</f>
        <v>#VALUE!</v>
      </c>
      <c r="L244" t="e">
        <f t="shared" si="10"/>
        <v>#VALUE!</v>
      </c>
    </row>
    <row r="245" spans="2:12" x14ac:dyDescent="0.2">
      <c r="B245" t="e" cm="1">
        <f t="array" ref="B245">_xlfn.TEXTSPLIT(A245," ",)</f>
        <v>#VALUE!</v>
      </c>
      <c r="L245" t="e">
        <f t="shared" si="10"/>
        <v>#VALUE!</v>
      </c>
    </row>
    <row r="246" spans="2:12" x14ac:dyDescent="0.2">
      <c r="B246" t="e" cm="1">
        <f t="array" ref="B246">_xlfn.TEXTSPLIT(A246," ",)</f>
        <v>#VALUE!</v>
      </c>
      <c r="L246" t="e">
        <f t="shared" si="10"/>
        <v>#VALUE!</v>
      </c>
    </row>
    <row r="247" spans="2:12" x14ac:dyDescent="0.2">
      <c r="B247" t="e" cm="1">
        <f t="array" ref="B247">_xlfn.TEXTSPLIT(A247," ",)</f>
        <v>#VALUE!</v>
      </c>
      <c r="L247" t="e">
        <f t="shared" si="10"/>
        <v>#VALUE!</v>
      </c>
    </row>
    <row r="248" spans="2:12" x14ac:dyDescent="0.2">
      <c r="B248" t="e" cm="1">
        <f t="array" ref="B248">_xlfn.TEXTSPLIT(A248," ",)</f>
        <v>#VALUE!</v>
      </c>
      <c r="L248" t="e">
        <f t="shared" si="10"/>
        <v>#VALUE!</v>
      </c>
    </row>
    <row r="249" spans="2:12" x14ac:dyDescent="0.2">
      <c r="B249" t="e" cm="1">
        <f t="array" ref="B249">_xlfn.TEXTSPLIT(A249," ",)</f>
        <v>#VALUE!</v>
      </c>
      <c r="L249" t="e">
        <f t="shared" si="10"/>
        <v>#VALUE!</v>
      </c>
    </row>
    <row r="250" spans="2:12" x14ac:dyDescent="0.2">
      <c r="B250" t="e" cm="1">
        <f t="array" ref="B250">_xlfn.TEXTSPLIT(A250," ",)</f>
        <v>#VALUE!</v>
      </c>
      <c r="L250" t="e">
        <f t="shared" si="10"/>
        <v>#VALUE!</v>
      </c>
    </row>
    <row r="251" spans="2:12" x14ac:dyDescent="0.2">
      <c r="B251" t="e" cm="1">
        <f t="array" ref="B251">_xlfn.TEXTSPLIT(A251," ",)</f>
        <v>#VALUE!</v>
      </c>
      <c r="L251" t="e">
        <f t="shared" si="10"/>
        <v>#VALUE!</v>
      </c>
    </row>
    <row r="252" spans="2:12" x14ac:dyDescent="0.2">
      <c r="B252" t="e" cm="1">
        <f t="array" ref="B252">_xlfn.TEXTSPLIT(A252," ",)</f>
        <v>#VALUE!</v>
      </c>
      <c r="L252" t="e">
        <f t="shared" si="10"/>
        <v>#VALUE!</v>
      </c>
    </row>
    <row r="253" spans="2:12" x14ac:dyDescent="0.2">
      <c r="B253" t="e" cm="1">
        <f t="array" ref="B253">_xlfn.TEXTSPLIT(A253," ",)</f>
        <v>#VALUE!</v>
      </c>
      <c r="L253" t="e">
        <f t="shared" si="10"/>
        <v>#VALUE!</v>
      </c>
    </row>
    <row r="254" spans="2:12" x14ac:dyDescent="0.2">
      <c r="B254" t="e" cm="1">
        <f t="array" ref="B254">_xlfn.TEXTSPLIT(A254," ",)</f>
        <v>#VALUE!</v>
      </c>
      <c r="L254" t="e">
        <f t="shared" si="10"/>
        <v>#VALUE!</v>
      </c>
    </row>
    <row r="255" spans="2:12" x14ac:dyDescent="0.2">
      <c r="B255" t="e" cm="1">
        <f t="array" ref="B255">_xlfn.TEXTSPLIT(A255," ",)</f>
        <v>#VALUE!</v>
      </c>
      <c r="L255" t="e">
        <f t="shared" si="10"/>
        <v>#VALUE!</v>
      </c>
    </row>
    <row r="256" spans="2:12" x14ac:dyDescent="0.2">
      <c r="B256" t="e" cm="1">
        <f t="array" ref="B256">_xlfn.TEXTSPLIT(A256," ",)</f>
        <v>#VALUE!</v>
      </c>
      <c r="L256" t="e">
        <f t="shared" si="10"/>
        <v>#VALUE!</v>
      </c>
    </row>
    <row r="257" spans="2:12" x14ac:dyDescent="0.2">
      <c r="B257" t="e" cm="1">
        <f t="array" ref="B257">_xlfn.TEXTSPLIT(A257," ",)</f>
        <v>#VALUE!</v>
      </c>
      <c r="L257" t="e">
        <f t="shared" si="10"/>
        <v>#VALUE!</v>
      </c>
    </row>
    <row r="258" spans="2:12" x14ac:dyDescent="0.2">
      <c r="B258" t="e" cm="1">
        <f t="array" ref="B258">_xlfn.TEXTSPLIT(A258," ",)</f>
        <v>#VALUE!</v>
      </c>
      <c r="L258" t="e">
        <f t="shared" si="10"/>
        <v>#VALUE!</v>
      </c>
    </row>
    <row r="259" spans="2:12" x14ac:dyDescent="0.2">
      <c r="B259" t="e" cm="1">
        <f t="array" ref="B259">_xlfn.TEXTSPLIT(A259," ",)</f>
        <v>#VALUE!</v>
      </c>
      <c r="L259" t="e">
        <f t="shared" si="10"/>
        <v>#VALUE!</v>
      </c>
    </row>
    <row r="260" spans="2:12" x14ac:dyDescent="0.2">
      <c r="B260" t="e" cm="1">
        <f t="array" ref="B260">_xlfn.TEXTSPLIT(A260," ",)</f>
        <v>#VALUE!</v>
      </c>
      <c r="L260" t="e">
        <f t="shared" si="10"/>
        <v>#VALUE!</v>
      </c>
    </row>
    <row r="261" spans="2:12" x14ac:dyDescent="0.2">
      <c r="B261" t="e" cm="1">
        <f t="array" ref="B261">_xlfn.TEXTSPLIT(A261," ",)</f>
        <v>#VALUE!</v>
      </c>
      <c r="L261" t="e">
        <f t="shared" si="10"/>
        <v>#VALUE!</v>
      </c>
    </row>
    <row r="262" spans="2:12" x14ac:dyDescent="0.2">
      <c r="B262" t="e" cm="1">
        <f t="array" ref="B262">_xlfn.TEXTSPLIT(A262," ",)</f>
        <v>#VALUE!</v>
      </c>
      <c r="L262" t="e">
        <f t="shared" si="10"/>
        <v>#VALUE!</v>
      </c>
    </row>
    <row r="263" spans="2:12" x14ac:dyDescent="0.2">
      <c r="B263" t="e" cm="1">
        <f t="array" ref="B263">_xlfn.TEXTSPLIT(A263," ",)</f>
        <v>#VALUE!</v>
      </c>
      <c r="L263" t="e">
        <f t="shared" si="10"/>
        <v>#VALUE!</v>
      </c>
    </row>
    <row r="264" spans="2:12" x14ac:dyDescent="0.2">
      <c r="B264" t="e" cm="1">
        <f t="array" ref="B264">_xlfn.TEXTSPLIT(A264," ",)</f>
        <v>#VALUE!</v>
      </c>
      <c r="L264" t="e">
        <f t="shared" si="10"/>
        <v>#VALUE!</v>
      </c>
    </row>
    <row r="265" spans="2:12" x14ac:dyDescent="0.2">
      <c r="B265" t="e" cm="1">
        <f t="array" ref="B265">_xlfn.TEXTSPLIT(A265," ",)</f>
        <v>#VALUE!</v>
      </c>
      <c r="L265" t="e">
        <f t="shared" si="10"/>
        <v>#VALUE!</v>
      </c>
    </row>
    <row r="266" spans="2:12" x14ac:dyDescent="0.2">
      <c r="B266" t="e" cm="1">
        <f t="array" ref="B266">_xlfn.TEXTSPLIT(A266," ",)</f>
        <v>#VALUE!</v>
      </c>
      <c r="L266" t="e">
        <f t="shared" si="10"/>
        <v>#VALUE!</v>
      </c>
    </row>
    <row r="267" spans="2:12" x14ac:dyDescent="0.2">
      <c r="B267" t="e" cm="1">
        <f t="array" ref="B267">_xlfn.TEXTSPLIT(A267," ",)</f>
        <v>#VALUE!</v>
      </c>
      <c r="L267" t="e">
        <f t="shared" si="10"/>
        <v>#VALUE!</v>
      </c>
    </row>
    <row r="268" spans="2:12" x14ac:dyDescent="0.2">
      <c r="B268" t="e" cm="1">
        <f t="array" ref="B268">_xlfn.TEXTSPLIT(A268," ",)</f>
        <v>#VALUE!</v>
      </c>
      <c r="L268" t="e">
        <f t="shared" si="10"/>
        <v>#VALUE!</v>
      </c>
    </row>
    <row r="269" spans="2:12" x14ac:dyDescent="0.2">
      <c r="B269" t="e" cm="1">
        <f t="array" ref="B269">_xlfn.TEXTSPLIT(A269," ",)</f>
        <v>#VALUE!</v>
      </c>
      <c r="L269" t="e">
        <f t="shared" si="10"/>
        <v>#VALUE!</v>
      </c>
    </row>
    <row r="270" spans="2:12" x14ac:dyDescent="0.2">
      <c r="B270" t="e" cm="1">
        <f t="array" ref="B270">_xlfn.TEXTSPLIT(A270," ",)</f>
        <v>#VALUE!</v>
      </c>
      <c r="L270" t="e">
        <f t="shared" si="10"/>
        <v>#VALUE!</v>
      </c>
    </row>
    <row r="271" spans="2:12" x14ac:dyDescent="0.2">
      <c r="B271" t="e" cm="1">
        <f t="array" ref="B271">_xlfn.TEXTSPLIT(A271," ",)</f>
        <v>#VALUE!</v>
      </c>
      <c r="L271" t="e">
        <f t="shared" si="10"/>
        <v>#VALUE!</v>
      </c>
    </row>
    <row r="272" spans="2:12" x14ac:dyDescent="0.2">
      <c r="B272" t="e" cm="1">
        <f t="array" ref="B272">_xlfn.TEXTSPLIT(A272," ",)</f>
        <v>#VALUE!</v>
      </c>
      <c r="L272" t="e">
        <f t="shared" si="10"/>
        <v>#VALUE!</v>
      </c>
    </row>
    <row r="273" spans="2:12" x14ac:dyDescent="0.2">
      <c r="B273" t="e" cm="1">
        <f t="array" ref="B273">_xlfn.TEXTSPLIT(A273," ",)</f>
        <v>#VALUE!</v>
      </c>
      <c r="L273" t="e">
        <f t="shared" si="10"/>
        <v>#VALUE!</v>
      </c>
    </row>
    <row r="274" spans="2:12" x14ac:dyDescent="0.2">
      <c r="B274" t="e" cm="1">
        <f t="array" ref="B274">_xlfn.TEXTSPLIT(A274," ",)</f>
        <v>#VALUE!</v>
      </c>
      <c r="L274" t="e">
        <f t="shared" si="10"/>
        <v>#VALUE!</v>
      </c>
    </row>
    <row r="275" spans="2:12" x14ac:dyDescent="0.2">
      <c r="B275" t="e" cm="1">
        <f t="array" ref="B275">_xlfn.TEXTSPLIT(A275," ",)</f>
        <v>#VALUE!</v>
      </c>
      <c r="L275" t="e">
        <f t="shared" si="10"/>
        <v>#VALUE!</v>
      </c>
    </row>
    <row r="276" spans="2:12" x14ac:dyDescent="0.2">
      <c r="B276" t="e" cm="1">
        <f t="array" ref="B276">_xlfn.TEXTSPLIT(A276," ",)</f>
        <v>#VALUE!</v>
      </c>
      <c r="L276" t="e">
        <f t="shared" si="10"/>
        <v>#VALUE!</v>
      </c>
    </row>
    <row r="277" spans="2:12" x14ac:dyDescent="0.2">
      <c r="B277" t="e" cm="1">
        <f t="array" ref="B277">_xlfn.TEXTSPLIT(A277," ",)</f>
        <v>#VALUE!</v>
      </c>
      <c r="L277" t="e">
        <f t="shared" si="10"/>
        <v>#VALUE!</v>
      </c>
    </row>
    <row r="278" spans="2:12" x14ac:dyDescent="0.2">
      <c r="B278" t="e" cm="1">
        <f t="array" ref="B278">_xlfn.TEXTSPLIT(A278," ",)</f>
        <v>#VALUE!</v>
      </c>
      <c r="L278" t="e">
        <f t="shared" si="10"/>
        <v>#VALUE!</v>
      </c>
    </row>
    <row r="279" spans="2:12" x14ac:dyDescent="0.2">
      <c r="B279" t="e" cm="1">
        <f t="array" ref="B279">_xlfn.TEXTSPLIT(A279," ",)</f>
        <v>#VALUE!</v>
      </c>
      <c r="L279" t="e">
        <f t="shared" si="10"/>
        <v>#VALUE!</v>
      </c>
    </row>
    <row r="280" spans="2:12" x14ac:dyDescent="0.2">
      <c r="B280" t="e" cm="1">
        <f t="array" ref="B280">_xlfn.TEXTSPLIT(A280," ",)</f>
        <v>#VALUE!</v>
      </c>
      <c r="L280" t="e">
        <f t="shared" si="10"/>
        <v>#VALUE!</v>
      </c>
    </row>
    <row r="281" spans="2:12" x14ac:dyDescent="0.2">
      <c r="B281" t="e" cm="1">
        <f t="array" ref="B281">_xlfn.TEXTSPLIT(A281," ",)</f>
        <v>#VALUE!</v>
      </c>
      <c r="L281" t="e">
        <f t="shared" si="10"/>
        <v>#VALUE!</v>
      </c>
    </row>
    <row r="282" spans="2:12" x14ac:dyDescent="0.2">
      <c r="B282" t="e" cm="1">
        <f t="array" ref="B282">_xlfn.TEXTSPLIT(A282," ",)</f>
        <v>#VALUE!</v>
      </c>
      <c r="L282" t="e">
        <f t="shared" si="10"/>
        <v>#VALUE!</v>
      </c>
    </row>
    <row r="283" spans="2:12" x14ac:dyDescent="0.2">
      <c r="B283" t="e" cm="1">
        <f t="array" ref="B283">_xlfn.TEXTSPLIT(A283," ",)</f>
        <v>#VALUE!</v>
      </c>
      <c r="L283" t="e">
        <f t="shared" si="10"/>
        <v>#VALUE!</v>
      </c>
    </row>
    <row r="284" spans="2:12" x14ac:dyDescent="0.2">
      <c r="B284" t="e" cm="1">
        <f t="array" ref="B284">_xlfn.TEXTSPLIT(A284," ",)</f>
        <v>#VALUE!</v>
      </c>
      <c r="L284" t="e">
        <f t="shared" si="10"/>
        <v>#VALUE!</v>
      </c>
    </row>
    <row r="285" spans="2:12" x14ac:dyDescent="0.2">
      <c r="B285" t="e" cm="1">
        <f t="array" ref="B285">_xlfn.TEXTSPLIT(A285," ",)</f>
        <v>#VALUE!</v>
      </c>
      <c r="L285" t="e">
        <f t="shared" si="10"/>
        <v>#VALUE!</v>
      </c>
    </row>
    <row r="286" spans="2:12" x14ac:dyDescent="0.2">
      <c r="B286" t="e" cm="1">
        <f t="array" ref="B286">_xlfn.TEXTSPLIT(A286," ",)</f>
        <v>#VALUE!</v>
      </c>
      <c r="L286" t="e">
        <f t="shared" si="10"/>
        <v>#VALUE!</v>
      </c>
    </row>
    <row r="287" spans="2:12" x14ac:dyDescent="0.2">
      <c r="B287" t="e" cm="1">
        <f t="array" ref="B287">_xlfn.TEXTSPLIT(A287," ",)</f>
        <v>#VALUE!</v>
      </c>
      <c r="L287" t="e">
        <f t="shared" si="10"/>
        <v>#VALUE!</v>
      </c>
    </row>
    <row r="288" spans="2:12" x14ac:dyDescent="0.2">
      <c r="B288" t="e" cm="1">
        <f t="array" ref="B288">_xlfn.TEXTSPLIT(A288," ",)</f>
        <v>#VALUE!</v>
      </c>
      <c r="L288" t="e">
        <f t="shared" si="10"/>
        <v>#VALUE!</v>
      </c>
    </row>
    <row r="289" spans="2:12" x14ac:dyDescent="0.2">
      <c r="B289" t="e" cm="1">
        <f t="array" ref="B289">_xlfn.TEXTSPLIT(A289," ",)</f>
        <v>#VALUE!</v>
      </c>
      <c r="L289" t="e">
        <f t="shared" si="10"/>
        <v>#VALUE!</v>
      </c>
    </row>
    <row r="290" spans="2:12" x14ac:dyDescent="0.2">
      <c r="B290" t="e" cm="1">
        <f t="array" ref="B290">_xlfn.TEXTSPLIT(A290," ",)</f>
        <v>#VALUE!</v>
      </c>
      <c r="L290" t="e">
        <f t="shared" si="10"/>
        <v>#VALUE!</v>
      </c>
    </row>
    <row r="291" spans="2:12" x14ac:dyDescent="0.2">
      <c r="B291" t="e" cm="1">
        <f t="array" ref="B291">_xlfn.TEXTSPLIT(A291," ",)</f>
        <v>#VALUE!</v>
      </c>
      <c r="L291" t="e">
        <f t="shared" si="10"/>
        <v>#VALUE!</v>
      </c>
    </row>
    <row r="292" spans="2:12" x14ac:dyDescent="0.2">
      <c r="B292" t="e" cm="1">
        <f t="array" ref="B292">_xlfn.TEXTSPLIT(A292," ",)</f>
        <v>#VALUE!</v>
      </c>
      <c r="L292" t="e">
        <f t="shared" si="10"/>
        <v>#VALUE!</v>
      </c>
    </row>
    <row r="293" spans="2:12" x14ac:dyDescent="0.2">
      <c r="B293" t="e" cm="1">
        <f t="array" ref="B293">_xlfn.TEXTSPLIT(A293," ",)</f>
        <v>#VALUE!</v>
      </c>
      <c r="L293" t="e">
        <f t="shared" si="10"/>
        <v>#VALUE!</v>
      </c>
    </row>
    <row r="294" spans="2:12" x14ac:dyDescent="0.2">
      <c r="B294" t="e" cm="1">
        <f t="array" ref="B294">_xlfn.TEXTSPLIT(A294," ",)</f>
        <v>#VALUE!</v>
      </c>
      <c r="L294" t="e">
        <f t="shared" si="10"/>
        <v>#VALUE!</v>
      </c>
    </row>
    <row r="295" spans="2:12" x14ac:dyDescent="0.2">
      <c r="B295" t="e" cm="1">
        <f t="array" ref="B295">_xlfn.TEXTSPLIT(A295," ",)</f>
        <v>#VALUE!</v>
      </c>
      <c r="L295" t="e">
        <f t="shared" ref="L295:L351" si="12">_xlfn.TEXTJOIN(" ",TRUE,B295,C295,D295,E295,F295,G295,H295,I295,J295)</f>
        <v>#VALUE!</v>
      </c>
    </row>
    <row r="296" spans="2:12" x14ac:dyDescent="0.2">
      <c r="B296" t="e" cm="1">
        <f t="array" ref="B296">_xlfn.TEXTSPLIT(A296," ",)</f>
        <v>#VALUE!</v>
      </c>
      <c r="L296" t="e">
        <f t="shared" si="12"/>
        <v>#VALUE!</v>
      </c>
    </row>
    <row r="297" spans="2:12" x14ac:dyDescent="0.2">
      <c r="B297" t="e" cm="1">
        <f t="array" ref="B297">_xlfn.TEXTSPLIT(A297," ",)</f>
        <v>#VALUE!</v>
      </c>
      <c r="L297" t="e">
        <f t="shared" si="12"/>
        <v>#VALUE!</v>
      </c>
    </row>
    <row r="298" spans="2:12" x14ac:dyDescent="0.2">
      <c r="B298" t="e" cm="1">
        <f t="array" ref="B298">_xlfn.TEXTSPLIT(A298," ",)</f>
        <v>#VALUE!</v>
      </c>
      <c r="L298" t="e">
        <f t="shared" si="12"/>
        <v>#VALUE!</v>
      </c>
    </row>
    <row r="299" spans="2:12" x14ac:dyDescent="0.2">
      <c r="B299" t="e" cm="1">
        <f t="array" ref="B299">_xlfn.TEXTSPLIT(A299," ",)</f>
        <v>#VALUE!</v>
      </c>
      <c r="L299" t="e">
        <f t="shared" si="12"/>
        <v>#VALUE!</v>
      </c>
    </row>
    <row r="300" spans="2:12" x14ac:dyDescent="0.2">
      <c r="B300" t="e" cm="1">
        <f t="array" ref="B300">_xlfn.TEXTSPLIT(A300," ",)</f>
        <v>#VALUE!</v>
      </c>
      <c r="L300" t="e">
        <f t="shared" si="12"/>
        <v>#VALUE!</v>
      </c>
    </row>
    <row r="301" spans="2:12" x14ac:dyDescent="0.2">
      <c r="B301" t="e" cm="1">
        <f t="array" ref="B301">_xlfn.TEXTSPLIT(A301," ",)</f>
        <v>#VALUE!</v>
      </c>
      <c r="L301" t="e">
        <f t="shared" si="12"/>
        <v>#VALUE!</v>
      </c>
    </row>
    <row r="302" spans="2:12" x14ac:dyDescent="0.2">
      <c r="B302" t="e" cm="1">
        <f t="array" ref="B302">_xlfn.TEXTSPLIT(A302," ",)</f>
        <v>#VALUE!</v>
      </c>
      <c r="L302" t="e">
        <f t="shared" si="12"/>
        <v>#VALUE!</v>
      </c>
    </row>
    <row r="303" spans="2:12" x14ac:dyDescent="0.2">
      <c r="B303" t="e" cm="1">
        <f t="array" ref="B303">_xlfn.TEXTSPLIT(A303," ",)</f>
        <v>#VALUE!</v>
      </c>
      <c r="L303" t="e">
        <f t="shared" si="12"/>
        <v>#VALUE!</v>
      </c>
    </row>
    <row r="304" spans="2:12" x14ac:dyDescent="0.2">
      <c r="B304" t="e" cm="1">
        <f t="array" ref="B304">_xlfn.TEXTSPLIT(A304," ",)</f>
        <v>#VALUE!</v>
      </c>
      <c r="L304" t="e">
        <f t="shared" si="12"/>
        <v>#VALUE!</v>
      </c>
    </row>
    <row r="305" spans="2:12" x14ac:dyDescent="0.2">
      <c r="B305" t="e" cm="1">
        <f t="array" ref="B305">_xlfn.TEXTSPLIT(A305," ",)</f>
        <v>#VALUE!</v>
      </c>
      <c r="L305" t="e">
        <f t="shared" si="12"/>
        <v>#VALUE!</v>
      </c>
    </row>
    <row r="306" spans="2:12" x14ac:dyDescent="0.2">
      <c r="B306" t="e" cm="1">
        <f t="array" ref="B306">_xlfn.TEXTSPLIT(A306," ",)</f>
        <v>#VALUE!</v>
      </c>
      <c r="L306" t="e">
        <f t="shared" si="12"/>
        <v>#VALUE!</v>
      </c>
    </row>
    <row r="307" spans="2:12" x14ac:dyDescent="0.2">
      <c r="B307" t="e" cm="1">
        <f t="array" ref="B307">_xlfn.TEXTSPLIT(A307," ",)</f>
        <v>#VALUE!</v>
      </c>
      <c r="L307" t="e">
        <f t="shared" si="12"/>
        <v>#VALUE!</v>
      </c>
    </row>
    <row r="308" spans="2:12" x14ac:dyDescent="0.2">
      <c r="B308" t="e" cm="1">
        <f t="array" ref="B308">_xlfn.TEXTSPLIT(A308," ",)</f>
        <v>#VALUE!</v>
      </c>
      <c r="L308" t="e">
        <f t="shared" si="12"/>
        <v>#VALUE!</v>
      </c>
    </row>
    <row r="309" spans="2:12" x14ac:dyDescent="0.2">
      <c r="B309" t="e" cm="1">
        <f t="array" ref="B309">_xlfn.TEXTSPLIT(A309," ",)</f>
        <v>#VALUE!</v>
      </c>
      <c r="L309" t="e">
        <f t="shared" si="12"/>
        <v>#VALUE!</v>
      </c>
    </row>
    <row r="310" spans="2:12" x14ac:dyDescent="0.2">
      <c r="B310" t="e" cm="1">
        <f t="array" ref="B310">_xlfn.TEXTSPLIT(A310," ",)</f>
        <v>#VALUE!</v>
      </c>
      <c r="L310" t="e">
        <f t="shared" si="12"/>
        <v>#VALUE!</v>
      </c>
    </row>
    <row r="311" spans="2:12" x14ac:dyDescent="0.2">
      <c r="B311" t="e" cm="1">
        <f t="array" ref="B311">_xlfn.TEXTSPLIT(A311," ",)</f>
        <v>#VALUE!</v>
      </c>
      <c r="L311" t="e">
        <f t="shared" si="12"/>
        <v>#VALUE!</v>
      </c>
    </row>
    <row r="312" spans="2:12" x14ac:dyDescent="0.2">
      <c r="B312" t="e" cm="1">
        <f t="array" ref="B312">_xlfn.TEXTSPLIT(A312," ",)</f>
        <v>#VALUE!</v>
      </c>
      <c r="L312" t="e">
        <f t="shared" si="12"/>
        <v>#VALUE!</v>
      </c>
    </row>
    <row r="313" spans="2:12" x14ac:dyDescent="0.2">
      <c r="B313" t="e" cm="1">
        <f t="array" ref="B313">_xlfn.TEXTSPLIT(A313," ",)</f>
        <v>#VALUE!</v>
      </c>
      <c r="L313" t="e">
        <f t="shared" si="12"/>
        <v>#VALUE!</v>
      </c>
    </row>
    <row r="314" spans="2:12" x14ac:dyDescent="0.2">
      <c r="B314" t="e" cm="1">
        <f t="array" ref="B314">_xlfn.TEXTSPLIT(A314," ",)</f>
        <v>#VALUE!</v>
      </c>
      <c r="L314" t="e">
        <f t="shared" si="12"/>
        <v>#VALUE!</v>
      </c>
    </row>
    <row r="315" spans="2:12" x14ac:dyDescent="0.2">
      <c r="B315" t="e" cm="1">
        <f t="array" ref="B315">_xlfn.TEXTSPLIT(A315," ",)</f>
        <v>#VALUE!</v>
      </c>
      <c r="L315" t="e">
        <f t="shared" si="12"/>
        <v>#VALUE!</v>
      </c>
    </row>
    <row r="316" spans="2:12" x14ac:dyDescent="0.2">
      <c r="B316" t="e" cm="1">
        <f t="array" ref="B316">_xlfn.TEXTSPLIT(A316," ",)</f>
        <v>#VALUE!</v>
      </c>
      <c r="L316" t="e">
        <f t="shared" si="12"/>
        <v>#VALUE!</v>
      </c>
    </row>
    <row r="317" spans="2:12" x14ac:dyDescent="0.2">
      <c r="B317" t="e" cm="1">
        <f t="array" ref="B317">_xlfn.TEXTSPLIT(A317," ",)</f>
        <v>#VALUE!</v>
      </c>
      <c r="L317" t="e">
        <f t="shared" si="12"/>
        <v>#VALUE!</v>
      </c>
    </row>
    <row r="318" spans="2:12" x14ac:dyDescent="0.2">
      <c r="B318" t="e" cm="1">
        <f t="array" ref="B318">_xlfn.TEXTSPLIT(A318," ",)</f>
        <v>#VALUE!</v>
      </c>
      <c r="L318" t="e">
        <f t="shared" si="12"/>
        <v>#VALUE!</v>
      </c>
    </row>
    <row r="319" spans="2:12" x14ac:dyDescent="0.2">
      <c r="B319" t="e" cm="1">
        <f t="array" ref="B319">_xlfn.TEXTSPLIT(A319," ",)</f>
        <v>#VALUE!</v>
      </c>
      <c r="L319" t="e">
        <f t="shared" si="12"/>
        <v>#VALUE!</v>
      </c>
    </row>
    <row r="320" spans="2:12" x14ac:dyDescent="0.2">
      <c r="B320" t="e" cm="1">
        <f t="array" ref="B320">_xlfn.TEXTSPLIT(A320," ",)</f>
        <v>#VALUE!</v>
      </c>
      <c r="L320" t="e">
        <f t="shared" si="12"/>
        <v>#VALUE!</v>
      </c>
    </row>
    <row r="321" spans="2:12" x14ac:dyDescent="0.2">
      <c r="B321" t="e" cm="1">
        <f t="array" ref="B321">_xlfn.TEXTSPLIT(A321," ",)</f>
        <v>#VALUE!</v>
      </c>
      <c r="L321" t="e">
        <f t="shared" si="12"/>
        <v>#VALUE!</v>
      </c>
    </row>
    <row r="322" spans="2:12" x14ac:dyDescent="0.2">
      <c r="B322" t="e" cm="1">
        <f t="array" ref="B322">_xlfn.TEXTSPLIT(A322," ",)</f>
        <v>#VALUE!</v>
      </c>
      <c r="L322" t="e">
        <f t="shared" si="12"/>
        <v>#VALUE!</v>
      </c>
    </row>
    <row r="323" spans="2:12" x14ac:dyDescent="0.2">
      <c r="B323" t="e" cm="1">
        <f t="array" ref="B323">_xlfn.TEXTSPLIT(A323," ",)</f>
        <v>#VALUE!</v>
      </c>
      <c r="L323" t="e">
        <f t="shared" si="12"/>
        <v>#VALUE!</v>
      </c>
    </row>
    <row r="324" spans="2:12" x14ac:dyDescent="0.2">
      <c r="B324" t="e" cm="1">
        <f t="array" ref="B324">_xlfn.TEXTSPLIT(A324," ",)</f>
        <v>#VALUE!</v>
      </c>
      <c r="L324" t="e">
        <f t="shared" si="12"/>
        <v>#VALUE!</v>
      </c>
    </row>
    <row r="325" spans="2:12" x14ac:dyDescent="0.2">
      <c r="B325" t="e" cm="1">
        <f t="array" ref="B325">_xlfn.TEXTSPLIT(A325," ",)</f>
        <v>#VALUE!</v>
      </c>
      <c r="L325" t="e">
        <f t="shared" si="12"/>
        <v>#VALUE!</v>
      </c>
    </row>
    <row r="326" spans="2:12" x14ac:dyDescent="0.2">
      <c r="B326" t="e" cm="1">
        <f t="array" ref="B326">_xlfn.TEXTSPLIT(A326," ",)</f>
        <v>#VALUE!</v>
      </c>
      <c r="L326" t="e">
        <f t="shared" si="12"/>
        <v>#VALUE!</v>
      </c>
    </row>
    <row r="327" spans="2:12" x14ac:dyDescent="0.2">
      <c r="B327" t="e" cm="1">
        <f t="array" ref="B327">_xlfn.TEXTSPLIT(A327," ",)</f>
        <v>#VALUE!</v>
      </c>
      <c r="L327" t="e">
        <f t="shared" si="12"/>
        <v>#VALUE!</v>
      </c>
    </row>
    <row r="328" spans="2:12" x14ac:dyDescent="0.2">
      <c r="B328" t="e" cm="1">
        <f t="array" ref="B328">_xlfn.TEXTSPLIT(A328," ",)</f>
        <v>#VALUE!</v>
      </c>
      <c r="L328" t="e">
        <f t="shared" si="12"/>
        <v>#VALUE!</v>
      </c>
    </row>
    <row r="329" spans="2:12" x14ac:dyDescent="0.2">
      <c r="B329" t="e" cm="1">
        <f t="array" ref="B329">_xlfn.TEXTSPLIT(A329," ",)</f>
        <v>#VALUE!</v>
      </c>
      <c r="L329" t="e">
        <f t="shared" si="12"/>
        <v>#VALUE!</v>
      </c>
    </row>
    <row r="330" spans="2:12" x14ac:dyDescent="0.2">
      <c r="B330" t="e" cm="1">
        <f t="array" ref="B330">_xlfn.TEXTSPLIT(A330," ",)</f>
        <v>#VALUE!</v>
      </c>
      <c r="L330" t="e">
        <f t="shared" si="12"/>
        <v>#VALUE!</v>
      </c>
    </row>
    <row r="331" spans="2:12" x14ac:dyDescent="0.2">
      <c r="B331" t="e" cm="1">
        <f t="array" ref="B331">_xlfn.TEXTSPLIT(A331," ",)</f>
        <v>#VALUE!</v>
      </c>
      <c r="L331" t="e">
        <f t="shared" si="12"/>
        <v>#VALUE!</v>
      </c>
    </row>
    <row r="332" spans="2:12" x14ac:dyDescent="0.2">
      <c r="B332" t="e" cm="1">
        <f t="array" ref="B332">_xlfn.TEXTSPLIT(A332," ",)</f>
        <v>#VALUE!</v>
      </c>
      <c r="L332" t="e">
        <f t="shared" si="12"/>
        <v>#VALUE!</v>
      </c>
    </row>
    <row r="333" spans="2:12" x14ac:dyDescent="0.2">
      <c r="B333" t="e" cm="1">
        <f t="array" ref="B333">_xlfn.TEXTSPLIT(A333," ",)</f>
        <v>#VALUE!</v>
      </c>
      <c r="L333" t="e">
        <f t="shared" si="12"/>
        <v>#VALUE!</v>
      </c>
    </row>
    <row r="334" spans="2:12" x14ac:dyDescent="0.2">
      <c r="B334" t="e" cm="1">
        <f t="array" ref="B334">_xlfn.TEXTSPLIT(A334," ",)</f>
        <v>#VALUE!</v>
      </c>
      <c r="L334" t="e">
        <f t="shared" si="12"/>
        <v>#VALUE!</v>
      </c>
    </row>
    <row r="335" spans="2:12" x14ac:dyDescent="0.2">
      <c r="B335" t="e" cm="1">
        <f t="array" ref="B335">_xlfn.TEXTSPLIT(A335," ",)</f>
        <v>#VALUE!</v>
      </c>
      <c r="L335" t="e">
        <f t="shared" si="12"/>
        <v>#VALUE!</v>
      </c>
    </row>
    <row r="336" spans="2:12" x14ac:dyDescent="0.2">
      <c r="B336" t="e" cm="1">
        <f t="array" ref="B336">_xlfn.TEXTSPLIT(A336," ",)</f>
        <v>#VALUE!</v>
      </c>
      <c r="L336" t="e">
        <f t="shared" si="12"/>
        <v>#VALUE!</v>
      </c>
    </row>
    <row r="337" spans="2:12" x14ac:dyDescent="0.2">
      <c r="B337" t="e" cm="1">
        <f t="array" ref="B337">_xlfn.TEXTSPLIT(A337," ",)</f>
        <v>#VALUE!</v>
      </c>
      <c r="L337" t="e">
        <f t="shared" si="12"/>
        <v>#VALUE!</v>
      </c>
    </row>
    <row r="338" spans="2:12" x14ac:dyDescent="0.2">
      <c r="B338" t="e" cm="1">
        <f t="array" ref="B338">_xlfn.TEXTSPLIT(A338," ",)</f>
        <v>#VALUE!</v>
      </c>
      <c r="L338" t="e">
        <f t="shared" si="12"/>
        <v>#VALUE!</v>
      </c>
    </row>
    <row r="339" spans="2:12" x14ac:dyDescent="0.2">
      <c r="B339" t="e" cm="1">
        <f t="array" ref="B339">_xlfn.TEXTSPLIT(A339," ",)</f>
        <v>#VALUE!</v>
      </c>
      <c r="L339" t="e">
        <f t="shared" si="12"/>
        <v>#VALUE!</v>
      </c>
    </row>
    <row r="340" spans="2:12" x14ac:dyDescent="0.2">
      <c r="B340" t="e" cm="1">
        <f t="array" ref="B340">_xlfn.TEXTSPLIT(A340," ",)</f>
        <v>#VALUE!</v>
      </c>
      <c r="L340" t="e">
        <f t="shared" si="12"/>
        <v>#VALUE!</v>
      </c>
    </row>
    <row r="341" spans="2:12" x14ac:dyDescent="0.2">
      <c r="B341" t="e" cm="1">
        <f t="array" ref="B341">_xlfn.TEXTSPLIT(A341," ",)</f>
        <v>#VALUE!</v>
      </c>
      <c r="L341" t="e">
        <f t="shared" si="12"/>
        <v>#VALUE!</v>
      </c>
    </row>
    <row r="342" spans="2:12" x14ac:dyDescent="0.2">
      <c r="B342" t="e" cm="1">
        <f t="array" ref="B342">_xlfn.TEXTSPLIT(A342," ",)</f>
        <v>#VALUE!</v>
      </c>
      <c r="L342" t="e">
        <f t="shared" si="12"/>
        <v>#VALUE!</v>
      </c>
    </row>
    <row r="343" spans="2:12" x14ac:dyDescent="0.2">
      <c r="B343" t="e" cm="1">
        <f t="array" ref="B343">_xlfn.TEXTSPLIT(A343," ",)</f>
        <v>#VALUE!</v>
      </c>
      <c r="L343" t="e">
        <f t="shared" si="12"/>
        <v>#VALUE!</v>
      </c>
    </row>
    <row r="344" spans="2:12" x14ac:dyDescent="0.2">
      <c r="B344" t="e" cm="1">
        <f t="array" ref="B344">_xlfn.TEXTSPLIT(A344," ",)</f>
        <v>#VALUE!</v>
      </c>
      <c r="L344" t="e">
        <f t="shared" si="12"/>
        <v>#VALUE!</v>
      </c>
    </row>
    <row r="345" spans="2:12" x14ac:dyDescent="0.2">
      <c r="B345" t="e" cm="1">
        <f t="array" ref="B345">_xlfn.TEXTSPLIT(A345," ",)</f>
        <v>#VALUE!</v>
      </c>
      <c r="L345" t="e">
        <f t="shared" si="12"/>
        <v>#VALUE!</v>
      </c>
    </row>
    <row r="346" spans="2:12" x14ac:dyDescent="0.2">
      <c r="B346" t="e" cm="1">
        <f t="array" ref="B346">_xlfn.TEXTSPLIT(A346," ",)</f>
        <v>#VALUE!</v>
      </c>
      <c r="L346" t="e">
        <f t="shared" si="12"/>
        <v>#VALUE!</v>
      </c>
    </row>
    <row r="347" spans="2:12" x14ac:dyDescent="0.2">
      <c r="B347" t="e" cm="1">
        <f t="array" ref="B347">_xlfn.TEXTSPLIT(A347," ",)</f>
        <v>#VALUE!</v>
      </c>
      <c r="L347" t="e">
        <f t="shared" si="12"/>
        <v>#VALUE!</v>
      </c>
    </row>
    <row r="348" spans="2:12" x14ac:dyDescent="0.2">
      <c r="B348" t="e" cm="1">
        <f t="array" ref="B348">_xlfn.TEXTSPLIT(A348," ",)</f>
        <v>#VALUE!</v>
      </c>
      <c r="L348" t="e">
        <f t="shared" si="12"/>
        <v>#VALUE!</v>
      </c>
    </row>
    <row r="349" spans="2:12" x14ac:dyDescent="0.2">
      <c r="B349" t="e" cm="1">
        <f t="array" ref="B349">_xlfn.TEXTSPLIT(A349," ",)</f>
        <v>#VALUE!</v>
      </c>
      <c r="L349" t="e">
        <f t="shared" si="12"/>
        <v>#VALUE!</v>
      </c>
    </row>
    <row r="350" spans="2:12" x14ac:dyDescent="0.2">
      <c r="B350" t="e" cm="1">
        <f t="array" ref="B350">_xlfn.TEXTSPLIT(A350," ",)</f>
        <v>#VALUE!</v>
      </c>
      <c r="L350" t="e">
        <f t="shared" si="12"/>
        <v>#VALUE!</v>
      </c>
    </row>
    <row r="351" spans="2:12" x14ac:dyDescent="0.2">
      <c r="B351" t="e" cm="1">
        <f t="array" ref="B351">_xlfn.TEXTSPLIT(A351," ",)</f>
        <v>#VALUE!</v>
      </c>
      <c r="L351" t="e">
        <f t="shared" si="12"/>
        <v>#VALUE!</v>
      </c>
    </row>
    <row r="352" spans="2:12" x14ac:dyDescent="0.2">
      <c r="B352" t="e" cm="1">
        <f t="array" ref="B352">_xlfn.TEXTSPLIT(A352," ",)</f>
        <v>#VALUE!</v>
      </c>
    </row>
    <row r="353" spans="2:2" x14ac:dyDescent="0.2">
      <c r="B353" t="e" cm="1">
        <f t="array" ref="B353">_xlfn.TEXTSPLIT(A353," ",)</f>
        <v>#VALUE!</v>
      </c>
    </row>
    <row r="354" spans="2:2" x14ac:dyDescent="0.2">
      <c r="B354" t="e" cm="1">
        <f t="array" ref="B354">_xlfn.TEXTSPLIT(A354," ",)</f>
        <v>#VALUE!</v>
      </c>
    </row>
    <row r="355" spans="2:2" x14ac:dyDescent="0.2">
      <c r="B355" t="e" cm="1">
        <f t="array" ref="B355">_xlfn.TEXTSPLIT(A355," ",)</f>
        <v>#VALUE!</v>
      </c>
    </row>
    <row r="356" spans="2:2" x14ac:dyDescent="0.2">
      <c r="B356" t="e" cm="1">
        <f t="array" ref="B356">_xlfn.TEXTSPLIT(A356," ",)</f>
        <v>#VALUE!</v>
      </c>
    </row>
    <row r="357" spans="2:2" x14ac:dyDescent="0.2">
      <c r="B357" t="e" cm="1">
        <f t="array" ref="B357">_xlfn.TEXTSPLIT(A357," ",)</f>
        <v>#VALUE!</v>
      </c>
    </row>
    <row r="358" spans="2:2" x14ac:dyDescent="0.2">
      <c r="B358" t="e" cm="1">
        <f t="array" ref="B358">_xlfn.TEXTSPLIT(A358," ",)</f>
        <v>#VALUE!</v>
      </c>
    </row>
    <row r="359" spans="2:2" x14ac:dyDescent="0.2">
      <c r="B359" t="e" cm="1">
        <f t="array" ref="B359">_xlfn.TEXTSPLIT(A359," ",)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6CC5070004244494FDD1D393DF679D" ma:contentTypeVersion="11" ma:contentTypeDescription="Create a new document." ma:contentTypeScope="" ma:versionID="c5edf32196d7aa8a66b1fc4f78d1ad8e">
  <xsd:schema xmlns:xsd="http://www.w3.org/2001/XMLSchema" xmlns:xs="http://www.w3.org/2001/XMLSchema" xmlns:p="http://schemas.microsoft.com/office/2006/metadata/properties" xmlns:ns2="6be386d1-05fd-474e-8501-dc989eb520a7" xmlns:ns3="d2d0ee72-316e-4ba4-85ce-ae68855d5f2a" targetNamespace="http://schemas.microsoft.com/office/2006/metadata/properties" ma:root="true" ma:fieldsID="389d4679b1677ccf1eef36e7496e5b97" ns2:_="" ns3:_="">
    <xsd:import namespace="6be386d1-05fd-474e-8501-dc989eb520a7"/>
    <xsd:import namespace="d2d0ee72-316e-4ba4-85ce-ae68855d5f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386d1-05fd-474e-8501-dc989eb520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0ee72-316e-4ba4-85ce-ae68855d5f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dcfb97-6b79-49a1-9cbb-e5d7e7df5929}" ma:internalName="TaxCatchAll" ma:showField="CatchAllData" ma:web="d2d0ee72-316e-4ba4-85ce-ae68855d5f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e386d1-05fd-474e-8501-dc989eb520a7">
      <Terms xmlns="http://schemas.microsoft.com/office/infopath/2007/PartnerControls"/>
    </lcf76f155ced4ddcb4097134ff3c332f>
    <TaxCatchAll xmlns="d2d0ee72-316e-4ba4-85ce-ae68855d5f2a" xsi:nil="true"/>
  </documentManagement>
</p:properties>
</file>

<file path=customXml/itemProps1.xml><?xml version="1.0" encoding="utf-8"?>
<ds:datastoreItem xmlns:ds="http://schemas.openxmlformats.org/officeDocument/2006/customXml" ds:itemID="{4821412F-1895-4BF0-8B91-C936BC7102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F8AF50-7880-41B4-8077-80EFFACA7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e386d1-05fd-474e-8501-dc989eb520a7"/>
    <ds:schemaRef ds:uri="d2d0ee72-316e-4ba4-85ce-ae68855d5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1C8861-D5E9-4B37-8E01-BAEFC2949FFD}">
  <ds:schemaRefs>
    <ds:schemaRef ds:uri="d2d0ee72-316e-4ba4-85ce-ae68855d5f2a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6be386d1-05fd-474e-8501-dc989eb520a7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IPSEC_BGP_XE_CONFIG</vt:lpstr>
      <vt:lpstr>Route Policy Docs</vt:lpstr>
      <vt:lpstr>CFG_RESET</vt:lpstr>
      <vt:lpstr>COMM</vt:lpstr>
      <vt:lpstr>_data</vt:lpstr>
      <vt:lpstr>_cfg_parts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Bill Graham (billgra)</cp:lastModifiedBy>
  <cp:revision/>
  <dcterms:created xsi:type="dcterms:W3CDTF">2026-02-02T18:35:35Z</dcterms:created>
  <dcterms:modified xsi:type="dcterms:W3CDTF">2026-02-12T21:06:22Z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0x010100BF6CC5070004244494FDD1D393DF679D</vt:lpwstr>
  </property>
  <property fmtid="{D5CDD505-2E9C-101B-9397-08002B2CF9AE}" pid="3" name="MediaServiceImageTags">
    <vt:lpwstr/>
  </property>
</Properties>
</file>